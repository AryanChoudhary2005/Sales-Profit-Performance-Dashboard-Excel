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aryanchoudhary/Desktop/AccioJob/Excel/Projects/Sales Dashboard Project/"/>
    </mc:Choice>
  </mc:AlternateContent>
  <xr:revisionPtr revIDLastSave="0" documentId="13_ncr:1_{5AF47DF3-D96C-E94B-96A2-7454BDA72521}" xr6:coauthVersionLast="47" xr6:coauthVersionMax="47" xr10:uidLastSave="{00000000-0000-0000-0000-000000000000}"/>
  <bookViews>
    <workbookView xWindow="0" yWindow="600" windowWidth="33600" windowHeight="18960" activeTab="2" xr2:uid="{00000000-000D-0000-FFFF-FFFF00000000}"/>
  </bookViews>
  <sheets>
    <sheet name="SalesData" sheetId="1" r:id="rId1"/>
    <sheet name="ANALYSIS" sheetId="2" r:id="rId2"/>
    <sheet name="Dashboard" sheetId="4" r:id="rId3"/>
  </sheets>
  <definedNames>
    <definedName name="Slicer_Category">#N/A</definedName>
    <definedName name="Slicer_Discount_Bucket">#N/A</definedName>
    <definedName name="Slicer_Month">#N/A</definedName>
    <definedName name="Slicer_Region">#N/A</definedName>
    <definedName name="Slicer_Sales_Person">#N/A</definedName>
    <definedName name="Slicer_Segment">#N/A</definedName>
    <definedName name="Slicer_Year">#N/A</definedName>
  </definedNames>
  <calcPr calcId="191029"/>
  <pivotCaches>
    <pivotCache cacheId="27"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2" l="1"/>
  <c r="E5" i="2"/>
  <c r="E4" i="2"/>
  <c r="E3" i="2"/>
  <c r="AD9" i="1"/>
  <c r="AD8" i="1"/>
  <c r="AD7" i="1"/>
  <c r="AD6" i="1"/>
  <c r="AD5" i="1"/>
  <c r="AD4" i="1"/>
  <c r="AD3"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alcChain>
</file>

<file path=xl/sharedStrings.xml><?xml version="1.0" encoding="utf-8"?>
<sst xmlns="http://schemas.openxmlformats.org/spreadsheetml/2006/main" count="10176" uniqueCount="1886">
  <si>
    <t>Order ID</t>
  </si>
  <si>
    <t>Order Date</t>
  </si>
  <si>
    <t>Customer Name</t>
  </si>
  <si>
    <t>Region</t>
  </si>
  <si>
    <t>State</t>
  </si>
  <si>
    <t>Category</t>
  </si>
  <si>
    <t>Sub Category</t>
  </si>
  <si>
    <t>Product Name</t>
  </si>
  <si>
    <t>Sales</t>
  </si>
  <si>
    <t>Quantity</t>
  </si>
  <si>
    <t>Discount</t>
  </si>
  <si>
    <t>Profit</t>
  </si>
  <si>
    <t>Sales Person</t>
  </si>
  <si>
    <t>Segment</t>
  </si>
  <si>
    <t>ORD100002</t>
  </si>
  <si>
    <t>2025-01-31</t>
  </si>
  <si>
    <t>Customer 87</t>
  </si>
  <si>
    <t>South</t>
  </si>
  <si>
    <t>Karnataka</t>
  </si>
  <si>
    <t>Office Supplies</t>
  </si>
  <si>
    <t>Binders</t>
  </si>
  <si>
    <t>Document Case</t>
  </si>
  <si>
    <t>Amit</t>
  </si>
  <si>
    <t>Home Office</t>
  </si>
  <si>
    <t>ORD100003</t>
  </si>
  <si>
    <t>2025-02-08</t>
  </si>
  <si>
    <t>Customer 64</t>
  </si>
  <si>
    <t>West</t>
  </si>
  <si>
    <t>Gujarat</t>
  </si>
  <si>
    <t>Writing</t>
  </si>
  <si>
    <t>Highlighter</t>
  </si>
  <si>
    <t>Vikram</t>
  </si>
  <si>
    <t>Consumer</t>
  </si>
  <si>
    <t>ORD100004</t>
  </si>
  <si>
    <t>2025-10-31</t>
  </si>
  <si>
    <t>Customer 49</t>
  </si>
  <si>
    <t>Paper</t>
  </si>
  <si>
    <t>Notebook</t>
  </si>
  <si>
    <t>Priya</t>
  </si>
  <si>
    <t>Small Business</t>
  </si>
  <si>
    <t>ORD100005</t>
  </si>
  <si>
    <t>2025-03-26</t>
  </si>
  <si>
    <t>Customer 75</t>
  </si>
  <si>
    <t>Rajasthan</t>
  </si>
  <si>
    <t>Pooja</t>
  </si>
  <si>
    <t>ORD100006</t>
  </si>
  <si>
    <t>2025-02-10</t>
  </si>
  <si>
    <t>Customer 191</t>
  </si>
  <si>
    <t>North</t>
  </si>
  <si>
    <t>Punjab</t>
  </si>
  <si>
    <t>Pen Pack</t>
  </si>
  <si>
    <t>ORD100007</t>
  </si>
  <si>
    <t>2024-12-03</t>
  </si>
  <si>
    <t>Customer 166</t>
  </si>
  <si>
    <t>Tamil Nadu</t>
  </si>
  <si>
    <t>Furniture</t>
  </si>
  <si>
    <t>Chairs</t>
  </si>
  <si>
    <t>Gaming Chair</t>
  </si>
  <si>
    <t>ORD100008</t>
  </si>
  <si>
    <t>2024-10-15</t>
  </si>
  <si>
    <t>Customer 167</t>
  </si>
  <si>
    <t>Maharashtra</t>
  </si>
  <si>
    <t>Visitor Chair</t>
  </si>
  <si>
    <t>Karan</t>
  </si>
  <si>
    <t>ORD100009</t>
  </si>
  <si>
    <t>2025-09-03</t>
  </si>
  <si>
    <t>Customer 94</t>
  </si>
  <si>
    <t>Technology</t>
  </si>
  <si>
    <t>Computers</t>
  </si>
  <si>
    <t>Laptop</t>
  </si>
  <si>
    <t>ORD100010</t>
  </si>
  <si>
    <t>2024-10-02</t>
  </si>
  <si>
    <t>Customer 39</t>
  </si>
  <si>
    <t>Uttarakhand</t>
  </si>
  <si>
    <t>Storage</t>
  </si>
  <si>
    <t>Cabinet</t>
  </si>
  <si>
    <t>Corporate</t>
  </si>
  <si>
    <t>ORD100011</t>
  </si>
  <si>
    <t>2024-07-11</t>
  </si>
  <si>
    <t>Customer 196</t>
  </si>
  <si>
    <t>Telangana</t>
  </si>
  <si>
    <t>ORD100012</t>
  </si>
  <si>
    <t>2024-03-17</t>
  </si>
  <si>
    <t>Customer 26</t>
  </si>
  <si>
    <t>Haryana</t>
  </si>
  <si>
    <t>Phones</t>
  </si>
  <si>
    <t>Smartphone</t>
  </si>
  <si>
    <t>Rahul</t>
  </si>
  <si>
    <t>ORD100013</t>
  </si>
  <si>
    <t>2024-05-16</t>
  </si>
  <si>
    <t>Customer 100</t>
  </si>
  <si>
    <t>ORD100014</t>
  </si>
  <si>
    <t>2025-05-20</t>
  </si>
  <si>
    <t>Customer 16</t>
  </si>
  <si>
    <t>ORD100015</t>
  </si>
  <si>
    <t>2025-03-23</t>
  </si>
  <si>
    <t>Customer 8</t>
  </si>
  <si>
    <t>Kerala</t>
  </si>
  <si>
    <t>Tables</t>
  </si>
  <si>
    <t>Coffee Table</t>
  </si>
  <si>
    <t>ORD100016</t>
  </si>
  <si>
    <t>2025-03-31</t>
  </si>
  <si>
    <t>Customer 109</t>
  </si>
  <si>
    <t>Desktop</t>
  </si>
  <si>
    <t>ORD100017</t>
  </si>
  <si>
    <t>2025-03-27</t>
  </si>
  <si>
    <t>Customer 44</t>
  </si>
  <si>
    <t>Rohit</t>
  </si>
  <si>
    <t>ORD100018</t>
  </si>
  <si>
    <t>2025-05-08</t>
  </si>
  <si>
    <t>Delhi</t>
  </si>
  <si>
    <t>A4 Paper</t>
  </si>
  <si>
    <t>ORD100019</t>
  </si>
  <si>
    <t>2024-01-26</t>
  </si>
  <si>
    <t>Customer 106</t>
  </si>
  <si>
    <t>Accessories</t>
  </si>
  <si>
    <t>Keyboard</t>
  </si>
  <si>
    <t>Anjali</t>
  </si>
  <si>
    <t>ORD100020</t>
  </si>
  <si>
    <t>2025-12-31</t>
  </si>
  <si>
    <t>Customer 190</t>
  </si>
  <si>
    <t>ORD100021</t>
  </si>
  <si>
    <t>2025-07-16</t>
  </si>
  <si>
    <t>Customer 153</t>
  </si>
  <si>
    <t>Goa</t>
  </si>
  <si>
    <t>Headset</t>
  </si>
  <si>
    <t>ORD100022</t>
  </si>
  <si>
    <t>2024-12-20</t>
  </si>
  <si>
    <t>Customer 61</t>
  </si>
  <si>
    <t>Office Chair</t>
  </si>
  <si>
    <t>ORD100023</t>
  </si>
  <si>
    <t>2024-01-14</t>
  </si>
  <si>
    <t>Customer 115</t>
  </si>
  <si>
    <t>Drawer Unit</t>
  </si>
  <si>
    <t>ORD100024</t>
  </si>
  <si>
    <t>2025-07-24</t>
  </si>
  <si>
    <t>Customer 76</t>
  </si>
  <si>
    <t>East</t>
  </si>
  <si>
    <t>Odisha</t>
  </si>
  <si>
    <t>ORD100025</t>
  </si>
  <si>
    <t>2024-05-18</t>
  </si>
  <si>
    <t>Customer 160</t>
  </si>
  <si>
    <t>West Bengal</t>
  </si>
  <si>
    <t>Neha</t>
  </si>
  <si>
    <t>ORD100026</t>
  </si>
  <si>
    <t>2024-12-22</t>
  </si>
  <si>
    <t>Customer 23</t>
  </si>
  <si>
    <t>ORD100027</t>
  </si>
  <si>
    <t>2025-09-02</t>
  </si>
  <si>
    <t>Customer 15</t>
  </si>
  <si>
    <t>Study Table</t>
  </si>
  <si>
    <t>ORD100028</t>
  </si>
  <si>
    <t>2024-07-30</t>
  </si>
  <si>
    <t>Customer 164</t>
  </si>
  <si>
    <t>Conference Table</t>
  </si>
  <si>
    <t>ORD100029</t>
  </si>
  <si>
    <t>2024-01-04</t>
  </si>
  <si>
    <t>Customer 38</t>
  </si>
  <si>
    <t>ORD100030</t>
  </si>
  <si>
    <t>Customer 59</t>
  </si>
  <si>
    <t>Bihar</t>
  </si>
  <si>
    <t>ORD100031</t>
  </si>
  <si>
    <t>2025-01-19</t>
  </si>
  <si>
    <t>Customer 54</t>
  </si>
  <si>
    <t>ORD100032</t>
  </si>
  <si>
    <t>2025-01-06</t>
  </si>
  <si>
    <t>Customer 159</t>
  </si>
  <si>
    <t>ORD100033</t>
  </si>
  <si>
    <t>2025-04-22</t>
  </si>
  <si>
    <t>Customer 120</t>
  </si>
  <si>
    <t>ORD100034</t>
  </si>
  <si>
    <t>2024-07-10</t>
  </si>
  <si>
    <t>Customer 132</t>
  </si>
  <si>
    <t>ORD100035</t>
  </si>
  <si>
    <t>2024-06-21</t>
  </si>
  <si>
    <t>Customer 161</t>
  </si>
  <si>
    <t>ORD100036</t>
  </si>
  <si>
    <t>2025-03-14</t>
  </si>
  <si>
    <t>Mouse</t>
  </si>
  <si>
    <t>ORD100037</t>
  </si>
  <si>
    <t>2024-07-03</t>
  </si>
  <si>
    <t>ORD100038</t>
  </si>
  <si>
    <t>2024-12-15</t>
  </si>
  <si>
    <t>Customer 72</t>
  </si>
  <si>
    <t>ORD100039</t>
  </si>
  <si>
    <t>2025-09-27</t>
  </si>
  <si>
    <t>Customer 154</t>
  </si>
  <si>
    <t>ORD100040</t>
  </si>
  <si>
    <t>2025-06-28</t>
  </si>
  <si>
    <t>Customer 30</t>
  </si>
  <si>
    <t>ORD100041</t>
  </si>
  <si>
    <t>2025-09-17</t>
  </si>
  <si>
    <t>Customer 194</t>
  </si>
  <si>
    <t>ORD100042</t>
  </si>
  <si>
    <t>Customer 199</t>
  </si>
  <si>
    <t>Sneha</t>
  </si>
  <si>
    <t>ORD100043</t>
  </si>
  <si>
    <t>2025-12-12</t>
  </si>
  <si>
    <t>Customer 142</t>
  </si>
  <si>
    <t>Marker Set</t>
  </si>
  <si>
    <t>ORD100044</t>
  </si>
  <si>
    <t>2024-10-03</t>
  </si>
  <si>
    <t>Customer 93</t>
  </si>
  <si>
    <t>ORD100045</t>
  </si>
  <si>
    <t>2025-11-18</t>
  </si>
  <si>
    <t>Customer 103</t>
  </si>
  <si>
    <t>ORD100046</t>
  </si>
  <si>
    <t>2024-06-25</t>
  </si>
  <si>
    <t>Customer 111</t>
  </si>
  <si>
    <t>ORD100047</t>
  </si>
  <si>
    <t>2024-03-04</t>
  </si>
  <si>
    <t>Customer 137</t>
  </si>
  <si>
    <t>Webcam</t>
  </si>
  <si>
    <t>ORD100048</t>
  </si>
  <si>
    <t>2025-11-26</t>
  </si>
  <si>
    <t>Customer 151</t>
  </si>
  <si>
    <t>ORD100049</t>
  </si>
  <si>
    <t>2025-08-17</t>
  </si>
  <si>
    <t>Customer 17</t>
  </si>
  <si>
    <t>ORD100050</t>
  </si>
  <si>
    <t>2024-11-19</t>
  </si>
  <si>
    <t>Customer 133</t>
  </si>
  <si>
    <t>Sticky Notes</t>
  </si>
  <si>
    <t>ORD100051</t>
  </si>
  <si>
    <t>2025-05-14</t>
  </si>
  <si>
    <t>Customer 104</t>
  </si>
  <si>
    <t>ORD100052</t>
  </si>
  <si>
    <t>2025-11-02</t>
  </si>
  <si>
    <t>Customer 98</t>
  </si>
  <si>
    <t>ORD100053</t>
  </si>
  <si>
    <t>2025-03-28</t>
  </si>
  <si>
    <t>ORD100054</t>
  </si>
  <si>
    <t>2024-09-05</t>
  </si>
  <si>
    <t>ORD100055</t>
  </si>
  <si>
    <t>2025-03-02</t>
  </si>
  <si>
    <t>Customer 186</t>
  </si>
  <si>
    <t>ORD100056</t>
  </si>
  <si>
    <t>2025-04-14</t>
  </si>
  <si>
    <t>Customer 144</t>
  </si>
  <si>
    <t>Ring Binder</t>
  </si>
  <si>
    <t>ORD100057</t>
  </si>
  <si>
    <t>2025-07-21</t>
  </si>
  <si>
    <t>Assam</t>
  </si>
  <si>
    <t>ORD100058</t>
  </si>
  <si>
    <t>2025-03-25</t>
  </si>
  <si>
    <t>ORD100059</t>
  </si>
  <si>
    <t>2025-08-21</t>
  </si>
  <si>
    <t>ORD100060</t>
  </si>
  <si>
    <t>2025-05-29</t>
  </si>
  <si>
    <t>Customer 27</t>
  </si>
  <si>
    <t>ORD100061</t>
  </si>
  <si>
    <t>2024-04-06</t>
  </si>
  <si>
    <t>Customer 43</t>
  </si>
  <si>
    <t>Desk Phone</t>
  </si>
  <si>
    <t>ORD100062</t>
  </si>
  <si>
    <t>2024-04-29</t>
  </si>
  <si>
    <t>Customer 92</t>
  </si>
  <si>
    <t>ORD100063</t>
  </si>
  <si>
    <t>2024-09-11</t>
  </si>
  <si>
    <t>Customer 42</t>
  </si>
  <si>
    <t>ORD100064</t>
  </si>
  <si>
    <t>2024-02-15</t>
  </si>
  <si>
    <t>Customer 10</t>
  </si>
  <si>
    <t>ORD100065</t>
  </si>
  <si>
    <t>2025-02-06</t>
  </si>
  <si>
    <t>Customer 176</t>
  </si>
  <si>
    <t>ORD100066</t>
  </si>
  <si>
    <t>2024-10-04</t>
  </si>
  <si>
    <t>Customer 125</t>
  </si>
  <si>
    <t>ORD100067</t>
  </si>
  <si>
    <t>2025-02-18</t>
  </si>
  <si>
    <t>Customer 47</t>
  </si>
  <si>
    <t>Bookshelf</t>
  </si>
  <si>
    <t>ORD100068</t>
  </si>
  <si>
    <t>2024-11-09</t>
  </si>
  <si>
    <t>Customer 183</t>
  </si>
  <si>
    <t>ORD100069</t>
  </si>
  <si>
    <t>2025-12-30</t>
  </si>
  <si>
    <t>Customer 28</t>
  </si>
  <si>
    <t>ORD100070</t>
  </si>
  <si>
    <t>2024-05-25</t>
  </si>
  <si>
    <t>Customer 24</t>
  </si>
  <si>
    <t>ORD100071</t>
  </si>
  <si>
    <t>2025-08-08</t>
  </si>
  <si>
    <t>ORD100072</t>
  </si>
  <si>
    <t>2025-09-12</t>
  </si>
  <si>
    <t>Customer 121</t>
  </si>
  <si>
    <t>ORD100073</t>
  </si>
  <si>
    <t>2024-11-18</t>
  </si>
  <si>
    <t>Customer 123</t>
  </si>
  <si>
    <t>ORD100074</t>
  </si>
  <si>
    <t>2024-12-19</t>
  </si>
  <si>
    <t>Customer 3</t>
  </si>
  <si>
    <t>ORD100075</t>
  </si>
  <si>
    <t>Customer 41</t>
  </si>
  <si>
    <t>ORD100076</t>
  </si>
  <si>
    <t>2025-01-03</t>
  </si>
  <si>
    <t>Customer 21</t>
  </si>
  <si>
    <t>ORD100077</t>
  </si>
  <si>
    <t>2024-04-27</t>
  </si>
  <si>
    <t>ORD100078</t>
  </si>
  <si>
    <t>2025-06-18</t>
  </si>
  <si>
    <t>Customer 200</t>
  </si>
  <si>
    <t>ORD100079</t>
  </si>
  <si>
    <t>2024-01-11</t>
  </si>
  <si>
    <t>Customer 185</t>
  </si>
  <si>
    <t>ORD100080</t>
  </si>
  <si>
    <t>2025-04-30</t>
  </si>
  <si>
    <t>Customer 139</t>
  </si>
  <si>
    <t>ORD100081</t>
  </si>
  <si>
    <t>2025-09-07</t>
  </si>
  <si>
    <t>Customer 105</t>
  </si>
  <si>
    <t>ORD100082</t>
  </si>
  <si>
    <t>2025-04-21</t>
  </si>
  <si>
    <t>ORD100083</t>
  </si>
  <si>
    <t>2024-09-16</t>
  </si>
  <si>
    <t>Customer 138</t>
  </si>
  <si>
    <t>ORD100084</t>
  </si>
  <si>
    <t>2025-10-01</t>
  </si>
  <si>
    <t>Customer 143</t>
  </si>
  <si>
    <t>ORD100085</t>
  </si>
  <si>
    <t>2024-08-08</t>
  </si>
  <si>
    <t>ORD100086</t>
  </si>
  <si>
    <t>2025-11-15</t>
  </si>
  <si>
    <t>Customer 14</t>
  </si>
  <si>
    <t>ORD100087</t>
  </si>
  <si>
    <t>2024-05-15</t>
  </si>
  <si>
    <t>Customer 53</t>
  </si>
  <si>
    <t>ORD100088</t>
  </si>
  <si>
    <t>2024-12-31</t>
  </si>
  <si>
    <t>ORD100089</t>
  </si>
  <si>
    <t>2025-06-20</t>
  </si>
  <si>
    <t>Customer 52</t>
  </si>
  <si>
    <t>ORD100090</t>
  </si>
  <si>
    <t>2025-02-27</t>
  </si>
  <si>
    <t>Customer 131</t>
  </si>
  <si>
    <t>ORD100091</t>
  </si>
  <si>
    <t>2025-12-14</t>
  </si>
  <si>
    <t>ORD100092</t>
  </si>
  <si>
    <t>2025-09-04</t>
  </si>
  <si>
    <t>Customer 11</t>
  </si>
  <si>
    <t>ORD100093</t>
  </si>
  <si>
    <t>2025-08-16</t>
  </si>
  <si>
    <t>Customer 95</t>
  </si>
  <si>
    <t>ORD100094</t>
  </si>
  <si>
    <t>2024-12-30</t>
  </si>
  <si>
    <t>Customer 48</t>
  </si>
  <si>
    <t>File Folder</t>
  </si>
  <si>
    <t>ORD100095</t>
  </si>
  <si>
    <t>2024-12-16</t>
  </si>
  <si>
    <t>Customer 108</t>
  </si>
  <si>
    <t>ORD100096</t>
  </si>
  <si>
    <t>2025-12-15</t>
  </si>
  <si>
    <t>ORD100097</t>
  </si>
  <si>
    <t>2024-06-03</t>
  </si>
  <si>
    <t>Customer 69</t>
  </si>
  <si>
    <t>ORD100098</t>
  </si>
  <si>
    <t>2025-11-03</t>
  </si>
  <si>
    <t>Customer 124</t>
  </si>
  <si>
    <t>ORD100099</t>
  </si>
  <si>
    <t>2025-07-05</t>
  </si>
  <si>
    <t>ORD100100</t>
  </si>
  <si>
    <t>2025-02-15</t>
  </si>
  <si>
    <t>ORD100101</t>
  </si>
  <si>
    <t>2024-02-12</t>
  </si>
  <si>
    <t>ORD100102</t>
  </si>
  <si>
    <t>2024-09-21</t>
  </si>
  <si>
    <t>Customer 12</t>
  </si>
  <si>
    <t>ORD100103</t>
  </si>
  <si>
    <t>2025-06-30</t>
  </si>
  <si>
    <t>Customer 86</t>
  </si>
  <si>
    <t>ORD100104</t>
  </si>
  <si>
    <t>2024-07-28</t>
  </si>
  <si>
    <t>ORD100105</t>
  </si>
  <si>
    <t>2025-03-07</t>
  </si>
  <si>
    <t>Customer 78</t>
  </si>
  <si>
    <t>ORD100106</t>
  </si>
  <si>
    <t>2024-04-23</t>
  </si>
  <si>
    <t>Customer 67</t>
  </si>
  <si>
    <t>ORD100107</t>
  </si>
  <si>
    <t>2025-11-12</t>
  </si>
  <si>
    <t>Customer 122</t>
  </si>
  <si>
    <t>Mini PC</t>
  </si>
  <si>
    <t>ORD100108</t>
  </si>
  <si>
    <t>2025-06-02</t>
  </si>
  <si>
    <t>ORD100109</t>
  </si>
  <si>
    <t>Customer 89</t>
  </si>
  <si>
    <t>ORD100110</t>
  </si>
  <si>
    <t>2025-01-04</t>
  </si>
  <si>
    <t>ORD100111</t>
  </si>
  <si>
    <t>2024-01-21</t>
  </si>
  <si>
    <t>ORD100112</t>
  </si>
  <si>
    <t>2025-10-02</t>
  </si>
  <si>
    <t>ORD100113</t>
  </si>
  <si>
    <t>2024-09-02</t>
  </si>
  <si>
    <t>Customer 179</t>
  </si>
  <si>
    <t>ORD100114</t>
  </si>
  <si>
    <t>2025-07-28</t>
  </si>
  <si>
    <t>ORD100115</t>
  </si>
  <si>
    <t>2024-07-04</t>
  </si>
  <si>
    <t>ORD100116</t>
  </si>
  <si>
    <t>2024-10-26</t>
  </si>
  <si>
    <t>Customer 156</t>
  </si>
  <si>
    <t>ORD100117</t>
  </si>
  <si>
    <t>ORD100118</t>
  </si>
  <si>
    <t>2025-12-24</t>
  </si>
  <si>
    <t>ORD100119</t>
  </si>
  <si>
    <t>2024-03-21</t>
  </si>
  <si>
    <t>Customer 127</t>
  </si>
  <si>
    <t>ORD100120</t>
  </si>
  <si>
    <t>2024-05-24</t>
  </si>
  <si>
    <t>Customer 29</t>
  </si>
  <si>
    <t>ORD100121</t>
  </si>
  <si>
    <t>2025-01-14</t>
  </si>
  <si>
    <t>ORD100122</t>
  </si>
  <si>
    <t>2024-12-10</t>
  </si>
  <si>
    <t>ORD100123</t>
  </si>
  <si>
    <t>2024-03-01</t>
  </si>
  <si>
    <t>Customer 117</t>
  </si>
  <si>
    <t>ORD100124</t>
  </si>
  <si>
    <t>2024-07-26</t>
  </si>
  <si>
    <t>Customer 178</t>
  </si>
  <si>
    <t>ORD100125</t>
  </si>
  <si>
    <t>2024-10-07</t>
  </si>
  <si>
    <t>ORD100126</t>
  </si>
  <si>
    <t>2024-04-11</t>
  </si>
  <si>
    <t>ORD100127</t>
  </si>
  <si>
    <t>2024-09-07</t>
  </si>
  <si>
    <t>ORD100128</t>
  </si>
  <si>
    <t>2024-08-22</t>
  </si>
  <si>
    <t>ORD100129</t>
  </si>
  <si>
    <t>2025-04-05</t>
  </si>
  <si>
    <t>ORD100130</t>
  </si>
  <si>
    <t>2024-06-28</t>
  </si>
  <si>
    <t>Customer 46</t>
  </si>
  <si>
    <t>ORD100131</t>
  </si>
  <si>
    <t>2024-11-15</t>
  </si>
  <si>
    <t>ORD100132</t>
  </si>
  <si>
    <t>2025-05-06</t>
  </si>
  <si>
    <t>Customer 73</t>
  </si>
  <si>
    <t>ORD100133</t>
  </si>
  <si>
    <t>2025-07-17</t>
  </si>
  <si>
    <t>Customer 79</t>
  </si>
  <si>
    <t>ORD100134</t>
  </si>
  <si>
    <t>2025-12-06</t>
  </si>
  <si>
    <t>ORD100135</t>
  </si>
  <si>
    <t>2024-03-08</t>
  </si>
  <si>
    <t>ORD100136</t>
  </si>
  <si>
    <t>2025-01-24</t>
  </si>
  <si>
    <t>ORD100137</t>
  </si>
  <si>
    <t>Customer 50</t>
  </si>
  <si>
    <t>ORD100138</t>
  </si>
  <si>
    <t>Customer 101</t>
  </si>
  <si>
    <t>ORD100139</t>
  </si>
  <si>
    <t>2025-06-21</t>
  </si>
  <si>
    <t>Customer 188</t>
  </si>
  <si>
    <t>ORD100140</t>
  </si>
  <si>
    <t>2025-04-26</t>
  </si>
  <si>
    <t>ORD100141</t>
  </si>
  <si>
    <t>2025-10-19</t>
  </si>
  <si>
    <t>Customer 77</t>
  </si>
  <si>
    <t>ORD100142</t>
  </si>
  <si>
    <t>2024-12-26</t>
  </si>
  <si>
    <t>ORD100143</t>
  </si>
  <si>
    <t>Customer 4</t>
  </si>
  <si>
    <t>ORD100144</t>
  </si>
  <si>
    <t>ORD100145</t>
  </si>
  <si>
    <t>2024-12-25</t>
  </si>
  <si>
    <t>Customer 189</t>
  </si>
  <si>
    <t>ORD100146</t>
  </si>
  <si>
    <t>2024-07-23</t>
  </si>
  <si>
    <t>ORD100147</t>
  </si>
  <si>
    <t>2025-08-07</t>
  </si>
  <si>
    <t>Customer 85</t>
  </si>
  <si>
    <t>ORD100148</t>
  </si>
  <si>
    <t>2024-02-07</t>
  </si>
  <si>
    <t>ORD100149</t>
  </si>
  <si>
    <t>2024-12-29</t>
  </si>
  <si>
    <t>ORD100150</t>
  </si>
  <si>
    <t>2024-02-03</t>
  </si>
  <si>
    <t>Customer 163</t>
  </si>
  <si>
    <t>ORD100151</t>
  </si>
  <si>
    <t>2024-08-07</t>
  </si>
  <si>
    <t>ORD100152</t>
  </si>
  <si>
    <t>2024-03-03</t>
  </si>
  <si>
    <t>ORD100153</t>
  </si>
  <si>
    <t>2025-09-20</t>
  </si>
  <si>
    <t>ORD100154</t>
  </si>
  <si>
    <t>2025-06-16</t>
  </si>
  <si>
    <t>ORD100155</t>
  </si>
  <si>
    <t>ORD100156</t>
  </si>
  <si>
    <t>Customer 90</t>
  </si>
  <si>
    <t>ORD100157</t>
  </si>
  <si>
    <t>2025-05-19</t>
  </si>
  <si>
    <t>ORD100158</t>
  </si>
  <si>
    <t>2024-11-29</t>
  </si>
  <si>
    <t>ORD100159</t>
  </si>
  <si>
    <t>2025-12-17</t>
  </si>
  <si>
    <t>Customer 193</t>
  </si>
  <si>
    <t>ORD100160</t>
  </si>
  <si>
    <t>2024-04-13</t>
  </si>
  <si>
    <t>Customer 55</t>
  </si>
  <si>
    <t>ORD100161</t>
  </si>
  <si>
    <t>2025-01-07</t>
  </si>
  <si>
    <t>Customer 96</t>
  </si>
  <si>
    <t>ORD100162</t>
  </si>
  <si>
    <t>2024-03-05</t>
  </si>
  <si>
    <t>ORD100163</t>
  </si>
  <si>
    <t>2025-01-08</t>
  </si>
  <si>
    <t>ORD100164</t>
  </si>
  <si>
    <t>2025-06-22</t>
  </si>
  <si>
    <t>ORD100165</t>
  </si>
  <si>
    <t>2024-01-02</t>
  </si>
  <si>
    <t>ORD100166</t>
  </si>
  <si>
    <t>2024-07-08</t>
  </si>
  <si>
    <t>ORD100167</t>
  </si>
  <si>
    <t>Customer 81</t>
  </si>
  <si>
    <t>ORD100168</t>
  </si>
  <si>
    <t>2025-01-28</t>
  </si>
  <si>
    <t>Customer 58</t>
  </si>
  <si>
    <t>ORD100169</t>
  </si>
  <si>
    <t>2024-03-07</t>
  </si>
  <si>
    <t>ORD100170</t>
  </si>
  <si>
    <t>2025-08-12</t>
  </si>
  <si>
    <t>ORD100171</t>
  </si>
  <si>
    <t>2024-10-27</t>
  </si>
  <si>
    <t>ORD100172</t>
  </si>
  <si>
    <t>2025-05-02</t>
  </si>
  <si>
    <t>ORD100173</t>
  </si>
  <si>
    <t>2024-06-05</t>
  </si>
  <si>
    <t>Customer 162</t>
  </si>
  <si>
    <t>ORD100174</t>
  </si>
  <si>
    <t>Customer 174</t>
  </si>
  <si>
    <t>ORD100175</t>
  </si>
  <si>
    <t>2024-11-17</t>
  </si>
  <si>
    <t>Customer 9</t>
  </si>
  <si>
    <t>ORD100176</t>
  </si>
  <si>
    <t>2024-12-05</t>
  </si>
  <si>
    <t>ORD100177</t>
  </si>
  <si>
    <t>2025-02-12</t>
  </si>
  <si>
    <t>Customer 134</t>
  </si>
  <si>
    <t>ORD100178</t>
  </si>
  <si>
    <t>2024-06-20</t>
  </si>
  <si>
    <t>Customer 91</t>
  </si>
  <si>
    <t>ORD100179</t>
  </si>
  <si>
    <t>2025-04-16</t>
  </si>
  <si>
    <t>ORD100180</t>
  </si>
  <si>
    <t>2024-12-02</t>
  </si>
  <si>
    <t>Customer 113</t>
  </si>
  <si>
    <t>ORD100181</t>
  </si>
  <si>
    <t>2024-06-15</t>
  </si>
  <si>
    <t>Customer 180</t>
  </si>
  <si>
    <t>ORD100182</t>
  </si>
  <si>
    <t>2024-04-25</t>
  </si>
  <si>
    <t>ORD100183</t>
  </si>
  <si>
    <t>2025-03-18</t>
  </si>
  <si>
    <t>Customer 119</t>
  </si>
  <si>
    <t>ORD100184</t>
  </si>
  <si>
    <t>2025-03-21</t>
  </si>
  <si>
    <t>ORD100185</t>
  </si>
  <si>
    <t>2025-04-15</t>
  </si>
  <si>
    <t>ORD100186</t>
  </si>
  <si>
    <t>2024-02-17</t>
  </si>
  <si>
    <t>ORD100187</t>
  </si>
  <si>
    <t>ORD100188</t>
  </si>
  <si>
    <t>2025-01-15</t>
  </si>
  <si>
    <t>Customer 150</t>
  </si>
  <si>
    <t>ORD100189</t>
  </si>
  <si>
    <t>2025-12-19</t>
  </si>
  <si>
    <t>ORD100190</t>
  </si>
  <si>
    <t>2025-03-09</t>
  </si>
  <si>
    <t>Customer 158</t>
  </si>
  <si>
    <t>ORD100191</t>
  </si>
  <si>
    <t>2024-01-13</t>
  </si>
  <si>
    <t>ORD100192</t>
  </si>
  <si>
    <t>ORD100193</t>
  </si>
  <si>
    <t>2024-10-10</t>
  </si>
  <si>
    <t>ORD100194</t>
  </si>
  <si>
    <t>2025-02-25</t>
  </si>
  <si>
    <t>ORD100195</t>
  </si>
  <si>
    <t>2025-12-26</t>
  </si>
  <si>
    <t>ORD100196</t>
  </si>
  <si>
    <t>2025-09-28</t>
  </si>
  <si>
    <t>Customer 149</t>
  </si>
  <si>
    <t>ORD100197</t>
  </si>
  <si>
    <t>2025-06-17</t>
  </si>
  <si>
    <t>ORD100198</t>
  </si>
  <si>
    <t>2024-10-20</t>
  </si>
  <si>
    <t>Customer 171</t>
  </si>
  <si>
    <t>ORD100199</t>
  </si>
  <si>
    <t>2024-07-14</t>
  </si>
  <si>
    <t>ORD100200</t>
  </si>
  <si>
    <t>2024-08-31</t>
  </si>
  <si>
    <t>ORD100201</t>
  </si>
  <si>
    <t>2024-02-24</t>
  </si>
  <si>
    <t>ORD100202</t>
  </si>
  <si>
    <t>2024-11-21</t>
  </si>
  <si>
    <t>ORD100203</t>
  </si>
  <si>
    <t>2025-09-05</t>
  </si>
  <si>
    <t>ORD100204</t>
  </si>
  <si>
    <t>2025-10-27</t>
  </si>
  <si>
    <t>Customer 126</t>
  </si>
  <si>
    <t>ORD100205</t>
  </si>
  <si>
    <t>2025-01-02</t>
  </si>
  <si>
    <t>ORD100206</t>
  </si>
  <si>
    <t>2025-11-23</t>
  </si>
  <si>
    <t>ORD100207</t>
  </si>
  <si>
    <t>2025-12-05</t>
  </si>
  <si>
    <t>Customer 107</t>
  </si>
  <si>
    <t>ORD100208</t>
  </si>
  <si>
    <t>2025-01-29</t>
  </si>
  <si>
    <t>ORD100209</t>
  </si>
  <si>
    <t>2025-11-11</t>
  </si>
  <si>
    <t>ORD100210</t>
  </si>
  <si>
    <t>ORD100211</t>
  </si>
  <si>
    <t>2024-07-02</t>
  </si>
  <si>
    <t>ORD100212</t>
  </si>
  <si>
    <t>2025-02-28</t>
  </si>
  <si>
    <t>Customer 51</t>
  </si>
  <si>
    <t>ORD100213</t>
  </si>
  <si>
    <t>2024-02-08</t>
  </si>
  <si>
    <t>ORD100214</t>
  </si>
  <si>
    <t>2025-08-02</t>
  </si>
  <si>
    <t>ORD100215</t>
  </si>
  <si>
    <t>2024-08-30</t>
  </si>
  <si>
    <t>Customer 45</t>
  </si>
  <si>
    <t>ORD100216</t>
  </si>
  <si>
    <t>2025-06-27</t>
  </si>
  <si>
    <t>ORD100217</t>
  </si>
  <si>
    <t>2024-09-03</t>
  </si>
  <si>
    <t>Customer 135</t>
  </si>
  <si>
    <t>ORD100218</t>
  </si>
  <si>
    <t>2025-04-08</t>
  </si>
  <si>
    <t>ORD100219</t>
  </si>
  <si>
    <t>2024-11-07</t>
  </si>
  <si>
    <t>ORD100220</t>
  </si>
  <si>
    <t>2025-01-13</t>
  </si>
  <si>
    <t>Customer 70</t>
  </si>
  <si>
    <t>ORD100221</t>
  </si>
  <si>
    <t>2025-11-21</t>
  </si>
  <si>
    <t>Customer 6</t>
  </si>
  <si>
    <t>ORD100222</t>
  </si>
  <si>
    <t>2025-11-19</t>
  </si>
  <si>
    <t>ORD100223</t>
  </si>
  <si>
    <t>2025-10-03</t>
  </si>
  <si>
    <t>ORD100224</t>
  </si>
  <si>
    <t>Customer 173</t>
  </si>
  <si>
    <t>ORD100225</t>
  </si>
  <si>
    <t>ORD100226</t>
  </si>
  <si>
    <t>2025-06-19</t>
  </si>
  <si>
    <t>ORD100227</t>
  </si>
  <si>
    <t>2024-09-26</t>
  </si>
  <si>
    <t>Customer 74</t>
  </si>
  <si>
    <t>ORD100228</t>
  </si>
  <si>
    <t>2025-09-19</t>
  </si>
  <si>
    <t>ORD100229</t>
  </si>
  <si>
    <t>2025-02-02</t>
  </si>
  <si>
    <t>ORD100230</t>
  </si>
  <si>
    <t>2024-08-17</t>
  </si>
  <si>
    <t>ORD100231</t>
  </si>
  <si>
    <t>2025-04-12</t>
  </si>
  <si>
    <t>Customer 65</t>
  </si>
  <si>
    <t>ORD100232</t>
  </si>
  <si>
    <t>2025-07-08</t>
  </si>
  <si>
    <t>ORD100233</t>
  </si>
  <si>
    <t>2024-07-18</t>
  </si>
  <si>
    <t>Customer 71</t>
  </si>
  <si>
    <t>ORD100234</t>
  </si>
  <si>
    <t>ORD100235</t>
  </si>
  <si>
    <t>2025-03-08</t>
  </si>
  <si>
    <t>ORD100236</t>
  </si>
  <si>
    <t>2024-09-09</t>
  </si>
  <si>
    <t>Customer 2</t>
  </si>
  <si>
    <t>ORD100237</t>
  </si>
  <si>
    <t>2025-05-10</t>
  </si>
  <si>
    <t>ORD100238</t>
  </si>
  <si>
    <t>2025-09-30</t>
  </si>
  <si>
    <t>ORD100239</t>
  </si>
  <si>
    <t>Customer 22</t>
  </si>
  <si>
    <t>ORD100240</t>
  </si>
  <si>
    <t>ORD100241</t>
  </si>
  <si>
    <t>2024-02-11</t>
  </si>
  <si>
    <t>ORD100242</t>
  </si>
  <si>
    <t>ORD100243</t>
  </si>
  <si>
    <t>Customer 170</t>
  </si>
  <si>
    <t>ORD100244</t>
  </si>
  <si>
    <t>2025-03-05</t>
  </si>
  <si>
    <t>Customer 66</t>
  </si>
  <si>
    <t>ORD100245</t>
  </si>
  <si>
    <t>2025-05-09</t>
  </si>
  <si>
    <t>Customer 148</t>
  </si>
  <si>
    <t>ORD100246</t>
  </si>
  <si>
    <t>2025-06-13</t>
  </si>
  <si>
    <t>Customer 112</t>
  </si>
  <si>
    <t>ORD100247</t>
  </si>
  <si>
    <t>2025-07-13</t>
  </si>
  <si>
    <t>ORD100248</t>
  </si>
  <si>
    <t>ORD100249</t>
  </si>
  <si>
    <t>2024-03-14</t>
  </si>
  <si>
    <t>ORD100250</t>
  </si>
  <si>
    <t>2024-01-16</t>
  </si>
  <si>
    <t>Customer 128</t>
  </si>
  <si>
    <t>ORD100251</t>
  </si>
  <si>
    <t>2024-02-04</t>
  </si>
  <si>
    <t>ORD100252</t>
  </si>
  <si>
    <t>2025-01-11</t>
  </si>
  <si>
    <t>ORD100253</t>
  </si>
  <si>
    <t>ORD100254</t>
  </si>
  <si>
    <t>2025-07-27</t>
  </si>
  <si>
    <t>ORD100255</t>
  </si>
  <si>
    <t>2024-01-03</t>
  </si>
  <si>
    <t>ORD100256</t>
  </si>
  <si>
    <t>2024-10-13</t>
  </si>
  <si>
    <t>ORD100257</t>
  </si>
  <si>
    <t>2024-10-16</t>
  </si>
  <si>
    <t>ORD100258</t>
  </si>
  <si>
    <t>2024-06-24</t>
  </si>
  <si>
    <t>ORD100259</t>
  </si>
  <si>
    <t>2024-01-12</t>
  </si>
  <si>
    <t>ORD100260</t>
  </si>
  <si>
    <t>2025-04-13</t>
  </si>
  <si>
    <t>ORD100261</t>
  </si>
  <si>
    <t>2024-04-12</t>
  </si>
  <si>
    <t>ORD100262</t>
  </si>
  <si>
    <t>ORD100263</t>
  </si>
  <si>
    <t>ORD100264</t>
  </si>
  <si>
    <t>ORD100265</t>
  </si>
  <si>
    <t>Customer 18</t>
  </si>
  <si>
    <t>ORD100266</t>
  </si>
  <si>
    <t>2025-01-20</t>
  </si>
  <si>
    <t>ORD100267</t>
  </si>
  <si>
    <t>ORD100268</t>
  </si>
  <si>
    <t>2024-12-06</t>
  </si>
  <si>
    <t>Customer 32</t>
  </si>
  <si>
    <t>ORD100269</t>
  </si>
  <si>
    <t>ORD100270</t>
  </si>
  <si>
    <t>2024-07-24</t>
  </si>
  <si>
    <t>ORD100271</t>
  </si>
  <si>
    <t>ORD100272</t>
  </si>
  <si>
    <t>2024-04-21</t>
  </si>
  <si>
    <t>ORD100273</t>
  </si>
  <si>
    <t>2024-02-01</t>
  </si>
  <si>
    <t>ORD100274</t>
  </si>
  <si>
    <t>ORD100275</t>
  </si>
  <si>
    <t>2024-06-14</t>
  </si>
  <si>
    <t>Customer 192</t>
  </si>
  <si>
    <t>ORD100276</t>
  </si>
  <si>
    <t>ORD100277</t>
  </si>
  <si>
    <t>2025-09-25</t>
  </si>
  <si>
    <t>Customer 62</t>
  </si>
  <si>
    <t>ORD100278</t>
  </si>
  <si>
    <t>2025-01-09</t>
  </si>
  <si>
    <t>ORD100279</t>
  </si>
  <si>
    <t>2024-09-14</t>
  </si>
  <si>
    <t>ORD100280</t>
  </si>
  <si>
    <t>ORD100281</t>
  </si>
  <si>
    <t>ORD100282</t>
  </si>
  <si>
    <t>2025-06-05</t>
  </si>
  <si>
    <t>ORD100283</t>
  </si>
  <si>
    <t>ORD100284</t>
  </si>
  <si>
    <t>2024-04-30</t>
  </si>
  <si>
    <t>ORD100285</t>
  </si>
  <si>
    <t>ORD100286</t>
  </si>
  <si>
    <t>ORD100287</t>
  </si>
  <si>
    <t>ORD100288</t>
  </si>
  <si>
    <t>2024-04-09</t>
  </si>
  <si>
    <t>Customer 7</t>
  </si>
  <si>
    <t>ORD100289</t>
  </si>
  <si>
    <t>Customer 157</t>
  </si>
  <si>
    <t>ORD100290</t>
  </si>
  <si>
    <t>ORD100291</t>
  </si>
  <si>
    <t>Customer 181</t>
  </si>
  <si>
    <t>ORD100292</t>
  </si>
  <si>
    <t>ORD100293</t>
  </si>
  <si>
    <t>ORD100294</t>
  </si>
  <si>
    <t>2025-12-02</t>
  </si>
  <si>
    <t>ORD100295</t>
  </si>
  <si>
    <t>ORD100296</t>
  </si>
  <si>
    <t>2024-01-17</t>
  </si>
  <si>
    <t>ORD100297</t>
  </si>
  <si>
    <t>2024-12-13</t>
  </si>
  <si>
    <t>ORD100298</t>
  </si>
  <si>
    <t>2024-04-01</t>
  </si>
  <si>
    <t>ORD100299</t>
  </si>
  <si>
    <t>2024-12-23</t>
  </si>
  <si>
    <t>ORD100300</t>
  </si>
  <si>
    <t>ORD100301</t>
  </si>
  <si>
    <t>ORD100302</t>
  </si>
  <si>
    <t>ORD100303</t>
  </si>
  <si>
    <t>ORD100304</t>
  </si>
  <si>
    <t>2025-02-05</t>
  </si>
  <si>
    <t>ORD100305</t>
  </si>
  <si>
    <t>Customer 140</t>
  </si>
  <si>
    <t>ORD100306</t>
  </si>
  <si>
    <t>2025-09-22</t>
  </si>
  <si>
    <t>ORD100307</t>
  </si>
  <si>
    <t>2024-04-03</t>
  </si>
  <si>
    <t>Customer 175</t>
  </si>
  <si>
    <t>ORD100308</t>
  </si>
  <si>
    <t>2025-08-19</t>
  </si>
  <si>
    <t>Customer 56</t>
  </si>
  <si>
    <t>ORD100309</t>
  </si>
  <si>
    <t>ORD100310</t>
  </si>
  <si>
    <t>2025-10-08</t>
  </si>
  <si>
    <t>Customer 195</t>
  </si>
  <si>
    <t>ORD100311</t>
  </si>
  <si>
    <t>2024-05-05</t>
  </si>
  <si>
    <t>Customer 88</t>
  </si>
  <si>
    <t>ORD100312</t>
  </si>
  <si>
    <t>2025-11-16</t>
  </si>
  <si>
    <t>ORD100313</t>
  </si>
  <si>
    <t>ORD100314</t>
  </si>
  <si>
    <t>ORD100315</t>
  </si>
  <si>
    <t>Customer 114</t>
  </si>
  <si>
    <t>ORD100316</t>
  </si>
  <si>
    <t>2025-08-15</t>
  </si>
  <si>
    <t>ORD100317</t>
  </si>
  <si>
    <t>ORD100318</t>
  </si>
  <si>
    <t>Customer 99</t>
  </si>
  <si>
    <t>ORD100319</t>
  </si>
  <si>
    <t>2025-05-12</t>
  </si>
  <si>
    <t>ORD100320</t>
  </si>
  <si>
    <t>ORD100321</t>
  </si>
  <si>
    <t>2024-05-06</t>
  </si>
  <si>
    <t>Customer 172</t>
  </si>
  <si>
    <t>ORD100322</t>
  </si>
  <si>
    <t>ORD100323</t>
  </si>
  <si>
    <t>ORD100324</t>
  </si>
  <si>
    <t>2024-08-03</t>
  </si>
  <si>
    <t>ORD100325</t>
  </si>
  <si>
    <t>ORD100326</t>
  </si>
  <si>
    <t>ORD100327</t>
  </si>
  <si>
    <t>ORD100328</t>
  </si>
  <si>
    <t>2025-09-16</t>
  </si>
  <si>
    <t>ORD100329</t>
  </si>
  <si>
    <t>2024-07-31</t>
  </si>
  <si>
    <t>ORD100330</t>
  </si>
  <si>
    <t>2025-12-16</t>
  </si>
  <si>
    <t>ORD100331</t>
  </si>
  <si>
    <t>2025-06-24</t>
  </si>
  <si>
    <t>ORD100332</t>
  </si>
  <si>
    <t>Customer 118</t>
  </si>
  <si>
    <t>ORD100333</t>
  </si>
  <si>
    <t>Customer 182</t>
  </si>
  <si>
    <t>ORD100334</t>
  </si>
  <si>
    <t>2024-05-28</t>
  </si>
  <si>
    <t>Customer 19</t>
  </si>
  <si>
    <t>ORD100335</t>
  </si>
  <si>
    <t>2024-07-20</t>
  </si>
  <si>
    <t>ORD100336</t>
  </si>
  <si>
    <t>2024-10-28</t>
  </si>
  <si>
    <t>Customer 147</t>
  </si>
  <si>
    <t>ORD100337</t>
  </si>
  <si>
    <t>ORD100338</t>
  </si>
  <si>
    <t>2025-05-04</t>
  </si>
  <si>
    <t>ORD100339</t>
  </si>
  <si>
    <t>2024-09-30</t>
  </si>
  <si>
    <t>Customer 68</t>
  </si>
  <si>
    <t>ORD100340</t>
  </si>
  <si>
    <t>Customer 34</t>
  </si>
  <si>
    <t>ORD100341</t>
  </si>
  <si>
    <t>2024-10-18</t>
  </si>
  <si>
    <t>ORD100342</t>
  </si>
  <si>
    <t>2024-09-29</t>
  </si>
  <si>
    <t>Customer 36</t>
  </si>
  <si>
    <t>ORD100343</t>
  </si>
  <si>
    <t>2025-09-09</t>
  </si>
  <si>
    <t>ORD100344</t>
  </si>
  <si>
    <t>ORD100345</t>
  </si>
  <si>
    <t>2024-08-23</t>
  </si>
  <si>
    <t>ORD100346</t>
  </si>
  <si>
    <t>Customer 1</t>
  </si>
  <si>
    <t>ORD100347</t>
  </si>
  <si>
    <t>2025-08-11</t>
  </si>
  <si>
    <t>ORD100348</t>
  </si>
  <si>
    <t>2025-12-01</t>
  </si>
  <si>
    <t>ORD100349</t>
  </si>
  <si>
    <t>2025-12-28</t>
  </si>
  <si>
    <t>ORD100350</t>
  </si>
  <si>
    <t>2024-06-27</t>
  </si>
  <si>
    <t>ORD100351</t>
  </si>
  <si>
    <t>ORD100352</t>
  </si>
  <si>
    <t>2025-10-05</t>
  </si>
  <si>
    <t>ORD100353</t>
  </si>
  <si>
    <t>2024-01-19</t>
  </si>
  <si>
    <t>ORD100354</t>
  </si>
  <si>
    <t>ORD100355</t>
  </si>
  <si>
    <t>2024-10-06</t>
  </si>
  <si>
    <t>ORD100356</t>
  </si>
  <si>
    <t>ORD100357</t>
  </si>
  <si>
    <t>ORD100358</t>
  </si>
  <si>
    <t>ORD100359</t>
  </si>
  <si>
    <t>2025-02-03</t>
  </si>
  <si>
    <t>ORD100360</t>
  </si>
  <si>
    <t>2024-03-28</t>
  </si>
  <si>
    <t>ORD100361</t>
  </si>
  <si>
    <t>ORD100362</t>
  </si>
  <si>
    <t>2024-03-23</t>
  </si>
  <si>
    <t>ORD100363</t>
  </si>
  <si>
    <t>ORD100364</t>
  </si>
  <si>
    <t>2024-05-13</t>
  </si>
  <si>
    <t>ORD100365</t>
  </si>
  <si>
    <t>2025-06-07</t>
  </si>
  <si>
    <t>Customer 80</t>
  </si>
  <si>
    <t>ORD100366</t>
  </si>
  <si>
    <t>2024-08-04</t>
  </si>
  <si>
    <t>Customer 35</t>
  </si>
  <si>
    <t>ORD100367</t>
  </si>
  <si>
    <t>2025-06-09</t>
  </si>
  <si>
    <t>ORD100368</t>
  </si>
  <si>
    <t>2024-10-23</t>
  </si>
  <si>
    <t>Customer 197</t>
  </si>
  <si>
    <t>ORD100369</t>
  </si>
  <si>
    <t>2025-10-24</t>
  </si>
  <si>
    <t>ORD100370</t>
  </si>
  <si>
    <t>ORD100371</t>
  </si>
  <si>
    <t>2025-04-24</t>
  </si>
  <si>
    <t>Customer 130</t>
  </si>
  <si>
    <t>ORD100372</t>
  </si>
  <si>
    <t>ORD100373</t>
  </si>
  <si>
    <t>2025-04-17</t>
  </si>
  <si>
    <t>ORD100374</t>
  </si>
  <si>
    <t>2024-02-23</t>
  </si>
  <si>
    <t>ORD100375</t>
  </si>
  <si>
    <t>2025-11-29</t>
  </si>
  <si>
    <t>ORD100376</t>
  </si>
  <si>
    <t>2024-07-19</t>
  </si>
  <si>
    <t>ORD100377</t>
  </si>
  <si>
    <t>ORD100378</t>
  </si>
  <si>
    <t>2024-12-07</t>
  </si>
  <si>
    <t>ORD100379</t>
  </si>
  <si>
    <t>2025-07-19</t>
  </si>
  <si>
    <t>Customer 60</t>
  </si>
  <si>
    <t>ORD100380</t>
  </si>
  <si>
    <t>ORD100381</t>
  </si>
  <si>
    <t>2025-05-26</t>
  </si>
  <si>
    <t>ORD100382</t>
  </si>
  <si>
    <t>2025-06-29</t>
  </si>
  <si>
    <t>ORD100383</t>
  </si>
  <si>
    <t>ORD100384</t>
  </si>
  <si>
    <t>2024-10-09</t>
  </si>
  <si>
    <t>ORD100385</t>
  </si>
  <si>
    <t>Customer 187</t>
  </si>
  <si>
    <t>ORD100386</t>
  </si>
  <si>
    <t>2024-06-22</t>
  </si>
  <si>
    <t>ORD100387</t>
  </si>
  <si>
    <t>ORD100388</t>
  </si>
  <si>
    <t>2025-01-21</t>
  </si>
  <si>
    <t>ORD100389</t>
  </si>
  <si>
    <t>2025-04-27</t>
  </si>
  <si>
    <t>Customer 40</t>
  </si>
  <si>
    <t>ORD100390</t>
  </si>
  <si>
    <t>2024-04-10</t>
  </si>
  <si>
    <t>ORD100391</t>
  </si>
  <si>
    <t>2025-06-25</t>
  </si>
  <si>
    <t>ORD100392</t>
  </si>
  <si>
    <t>2025-03-10</t>
  </si>
  <si>
    <t>ORD100393</t>
  </si>
  <si>
    <t>2025-04-02</t>
  </si>
  <si>
    <t>Customer 145</t>
  </si>
  <si>
    <t>ORD100394</t>
  </si>
  <si>
    <t>ORD100395</t>
  </si>
  <si>
    <t>2024-04-05</t>
  </si>
  <si>
    <t>ORD100396</t>
  </si>
  <si>
    <t>ORD100397</t>
  </si>
  <si>
    <t>2025-11-06</t>
  </si>
  <si>
    <t>Customer 25</t>
  </si>
  <si>
    <t>ORD100398</t>
  </si>
  <si>
    <t>2025-12-04</t>
  </si>
  <si>
    <t>ORD100399</t>
  </si>
  <si>
    <t>2025-12-23</t>
  </si>
  <si>
    <t>ORD100400</t>
  </si>
  <si>
    <t>2024-03-20</t>
  </si>
  <si>
    <t>ORD100401</t>
  </si>
  <si>
    <t>ORD100402</t>
  </si>
  <si>
    <t>ORD100403</t>
  </si>
  <si>
    <t>2024-09-12</t>
  </si>
  <si>
    <t>ORD100404</t>
  </si>
  <si>
    <t>ORD100405</t>
  </si>
  <si>
    <t>ORD100406</t>
  </si>
  <si>
    <t>2024-09-10</t>
  </si>
  <si>
    <t>ORD100407</t>
  </si>
  <si>
    <t>ORD100408</t>
  </si>
  <si>
    <t>2024-07-21</t>
  </si>
  <si>
    <t>ORD100409</t>
  </si>
  <si>
    <t>2025-03-06</t>
  </si>
  <si>
    <t>ORD100410</t>
  </si>
  <si>
    <t>2025-04-20</t>
  </si>
  <si>
    <t>ORD100411</t>
  </si>
  <si>
    <t>2024-08-09</t>
  </si>
  <si>
    <t>ORD100412</t>
  </si>
  <si>
    <t>ORD100413</t>
  </si>
  <si>
    <t>ORD100414</t>
  </si>
  <si>
    <t>2024-12-04</t>
  </si>
  <si>
    <t>Customer 84</t>
  </si>
  <si>
    <t>ORD100415</t>
  </si>
  <si>
    <t>2025-07-04</t>
  </si>
  <si>
    <t>ORD100416</t>
  </si>
  <si>
    <t>2025-08-03</t>
  </si>
  <si>
    <t>ORD100417</t>
  </si>
  <si>
    <t>2025-12-22</t>
  </si>
  <si>
    <t>ORD100418</t>
  </si>
  <si>
    <t>ORD100419</t>
  </si>
  <si>
    <t>ORD100420</t>
  </si>
  <si>
    <t>2025-03-22</t>
  </si>
  <si>
    <t>ORD100421</t>
  </si>
  <si>
    <t>Customer 37</t>
  </si>
  <si>
    <t>ORD100422</t>
  </si>
  <si>
    <t>ORD100423</t>
  </si>
  <si>
    <t>2025-08-22</t>
  </si>
  <si>
    <t>Customer 136</t>
  </si>
  <si>
    <t>ORD100424</t>
  </si>
  <si>
    <t>ORD100425</t>
  </si>
  <si>
    <t>2025-09-18</t>
  </si>
  <si>
    <t>ORD100426</t>
  </si>
  <si>
    <t>ORD100427</t>
  </si>
  <si>
    <t>ORD100428</t>
  </si>
  <si>
    <t>2024-04-15</t>
  </si>
  <si>
    <t>Customer 63</t>
  </si>
  <si>
    <t>ORD100429</t>
  </si>
  <si>
    <t>ORD100430</t>
  </si>
  <si>
    <t>Customer 5</t>
  </si>
  <si>
    <t>ORD100431</t>
  </si>
  <si>
    <t>ORD100432</t>
  </si>
  <si>
    <t>2025-10-21</t>
  </si>
  <si>
    <t>ORD100433</t>
  </si>
  <si>
    <t>2024-04-14</t>
  </si>
  <si>
    <t>ORD100434</t>
  </si>
  <si>
    <t>2024-12-17</t>
  </si>
  <si>
    <t>ORD100435</t>
  </si>
  <si>
    <t>2024-01-30</t>
  </si>
  <si>
    <t>ORD100436</t>
  </si>
  <si>
    <t>ORD100437</t>
  </si>
  <si>
    <t>2024-06-08</t>
  </si>
  <si>
    <t>ORD100438</t>
  </si>
  <si>
    <t>2024-08-28</t>
  </si>
  <si>
    <t>ORD100439</t>
  </si>
  <si>
    <t>ORD100440</t>
  </si>
  <si>
    <t>ORD100441</t>
  </si>
  <si>
    <t>2024-11-08</t>
  </si>
  <si>
    <t>ORD100442</t>
  </si>
  <si>
    <t>2025-11-27</t>
  </si>
  <si>
    <t>ORD100443</t>
  </si>
  <si>
    <t>ORD100444</t>
  </si>
  <si>
    <t>2025-09-06</t>
  </si>
  <si>
    <t>ORD100445</t>
  </si>
  <si>
    <t>2025-07-18</t>
  </si>
  <si>
    <t>ORD100446</t>
  </si>
  <si>
    <t>2024-02-28</t>
  </si>
  <si>
    <t>ORD100447</t>
  </si>
  <si>
    <t>ORD100448</t>
  </si>
  <si>
    <t>ORD100449</t>
  </si>
  <si>
    <t>2024-06-01</t>
  </si>
  <si>
    <t>ORD100450</t>
  </si>
  <si>
    <t>ORD100451</t>
  </si>
  <si>
    <t>2025-05-11</t>
  </si>
  <si>
    <t>Customer 116</t>
  </si>
  <si>
    <t>ORD100452</t>
  </si>
  <si>
    <t>2024-11-28</t>
  </si>
  <si>
    <t>ORD100453</t>
  </si>
  <si>
    <t>2024-03-30</t>
  </si>
  <si>
    <t>ORD100454</t>
  </si>
  <si>
    <t>Customer 31</t>
  </si>
  <si>
    <t>ORD100455</t>
  </si>
  <si>
    <t>2024-08-18</t>
  </si>
  <si>
    <t>ORD100456</t>
  </si>
  <si>
    <t>2025-03-17</t>
  </si>
  <si>
    <t>ORD100457</t>
  </si>
  <si>
    <t>2024-07-07</t>
  </si>
  <si>
    <t>ORD100458</t>
  </si>
  <si>
    <t>2025-08-10</t>
  </si>
  <si>
    <t>ORD100459</t>
  </si>
  <si>
    <t>Customer 152</t>
  </si>
  <si>
    <t>ORD100460</t>
  </si>
  <si>
    <t>2024-06-09</t>
  </si>
  <si>
    <t>Customer 165</t>
  </si>
  <si>
    <t>ORD100461</t>
  </si>
  <si>
    <t>ORD100462</t>
  </si>
  <si>
    <t>ORD100463</t>
  </si>
  <si>
    <t>ORD100464</t>
  </si>
  <si>
    <t>ORD100465</t>
  </si>
  <si>
    <t>ORD100466</t>
  </si>
  <si>
    <t>2024-02-02</t>
  </si>
  <si>
    <t>ORD100467</t>
  </si>
  <si>
    <t>2025-08-27</t>
  </si>
  <si>
    <t>ORD100468</t>
  </si>
  <si>
    <t>ORD100469</t>
  </si>
  <si>
    <t>2024-03-18</t>
  </si>
  <si>
    <t>Customer 168</t>
  </si>
  <si>
    <t>ORD100470</t>
  </si>
  <si>
    <t>2024-10-29</t>
  </si>
  <si>
    <t>ORD100471</t>
  </si>
  <si>
    <t>2024-11-06</t>
  </si>
  <si>
    <t>ORD100472</t>
  </si>
  <si>
    <t>ORD100473</t>
  </si>
  <si>
    <t>ORD100474</t>
  </si>
  <si>
    <t>ORD100475</t>
  </si>
  <si>
    <t>2025-07-29</t>
  </si>
  <si>
    <t>ORD100476</t>
  </si>
  <si>
    <t>ORD100477</t>
  </si>
  <si>
    <t>2024-12-14</t>
  </si>
  <si>
    <t>Customer 83</t>
  </si>
  <si>
    <t>ORD100478</t>
  </si>
  <si>
    <t>ORD100479</t>
  </si>
  <si>
    <t>ORD100480</t>
  </si>
  <si>
    <t>2024-04-18</t>
  </si>
  <si>
    <t>Customer 198</t>
  </si>
  <si>
    <t>ORD100481</t>
  </si>
  <si>
    <t>ORD100482</t>
  </si>
  <si>
    <t>2025-10-28</t>
  </si>
  <si>
    <t>ORD100483</t>
  </si>
  <si>
    <t>2024-11-03</t>
  </si>
  <si>
    <t>ORD100484</t>
  </si>
  <si>
    <t>ORD100485</t>
  </si>
  <si>
    <t>2025-01-05</t>
  </si>
  <si>
    <t>ORD100486</t>
  </si>
  <si>
    <t>ORD100487</t>
  </si>
  <si>
    <t>ORD100488</t>
  </si>
  <si>
    <t>ORD100489</t>
  </si>
  <si>
    <t>2025-01-16</t>
  </si>
  <si>
    <t>ORD100490</t>
  </si>
  <si>
    <t>2024-05-12</t>
  </si>
  <si>
    <t>ORD100491</t>
  </si>
  <si>
    <t>2024-08-10</t>
  </si>
  <si>
    <t>ORD100492</t>
  </si>
  <si>
    <t>ORD100493</t>
  </si>
  <si>
    <t>ORD100494</t>
  </si>
  <si>
    <t>2025-11-13</t>
  </si>
  <si>
    <t>ORD100495</t>
  </si>
  <si>
    <t>2024-03-12</t>
  </si>
  <si>
    <t>ORD100496</t>
  </si>
  <si>
    <t>ORD100497</t>
  </si>
  <si>
    <t>2024-08-27</t>
  </si>
  <si>
    <t>ORD100498</t>
  </si>
  <si>
    <t>2024-11-24</t>
  </si>
  <si>
    <t>ORD100499</t>
  </si>
  <si>
    <t>2024-12-11</t>
  </si>
  <si>
    <t>ORD100500</t>
  </si>
  <si>
    <t>ORD100501</t>
  </si>
  <si>
    <t>2025-05-28</t>
  </si>
  <si>
    <t>ORD100502</t>
  </si>
  <si>
    <t>ORD100503</t>
  </si>
  <si>
    <t>2025-01-17</t>
  </si>
  <si>
    <t>ORD100504</t>
  </si>
  <si>
    <t>2024-10-19</t>
  </si>
  <si>
    <t>ORD100505</t>
  </si>
  <si>
    <t>ORD100506</t>
  </si>
  <si>
    <t>2025-02-26</t>
  </si>
  <si>
    <t>ORD100507</t>
  </si>
  <si>
    <t>2024-09-19</t>
  </si>
  <si>
    <t>ORD100508</t>
  </si>
  <si>
    <t>ORD100509</t>
  </si>
  <si>
    <t>ORD100510</t>
  </si>
  <si>
    <t>2024-06-10</t>
  </si>
  <si>
    <t>ORD100511</t>
  </si>
  <si>
    <t>2025-11-04</t>
  </si>
  <si>
    <t>ORD100512</t>
  </si>
  <si>
    <t>ORD100513</t>
  </si>
  <si>
    <t>ORD100514</t>
  </si>
  <si>
    <t>ORD100515</t>
  </si>
  <si>
    <t>2024-12-27</t>
  </si>
  <si>
    <t>ORD100516</t>
  </si>
  <si>
    <t>ORD100517</t>
  </si>
  <si>
    <t>ORD100518</t>
  </si>
  <si>
    <t>ORD100519</t>
  </si>
  <si>
    <t>2025-10-09</t>
  </si>
  <si>
    <t>ORD100520</t>
  </si>
  <si>
    <t>ORD100521</t>
  </si>
  <si>
    <t>2025-03-15</t>
  </si>
  <si>
    <t>ORD100522</t>
  </si>
  <si>
    <t>ORD100523</t>
  </si>
  <si>
    <t>2024-09-25</t>
  </si>
  <si>
    <t>ORD100524</t>
  </si>
  <si>
    <t>ORD100525</t>
  </si>
  <si>
    <t>2024-01-08</t>
  </si>
  <si>
    <t>ORD100526</t>
  </si>
  <si>
    <t>2025-10-07</t>
  </si>
  <si>
    <t>ORD100527</t>
  </si>
  <si>
    <t>ORD100528</t>
  </si>
  <si>
    <t>2024-09-13</t>
  </si>
  <si>
    <t>ORD100529</t>
  </si>
  <si>
    <t>ORD100530</t>
  </si>
  <si>
    <t>2024-10-11</t>
  </si>
  <si>
    <t>ORD100531</t>
  </si>
  <si>
    <t>2025-12-09</t>
  </si>
  <si>
    <t>ORD100532</t>
  </si>
  <si>
    <t>2025-06-12</t>
  </si>
  <si>
    <t>ORD100533</t>
  </si>
  <si>
    <t>ORD100534</t>
  </si>
  <si>
    <t>2024-06-12</t>
  </si>
  <si>
    <t>ORD100535</t>
  </si>
  <si>
    <t>ORD100536</t>
  </si>
  <si>
    <t>ORD100537</t>
  </si>
  <si>
    <t>ORD100538</t>
  </si>
  <si>
    <t>2024-12-21</t>
  </si>
  <si>
    <t>Customer 102</t>
  </si>
  <si>
    <t>ORD100539</t>
  </si>
  <si>
    <t>ORD100540</t>
  </si>
  <si>
    <t>ORD100541</t>
  </si>
  <si>
    <t>2024-12-09</t>
  </si>
  <si>
    <t>ORD100542</t>
  </si>
  <si>
    <t>2024-06-18</t>
  </si>
  <si>
    <t>ORD100543</t>
  </si>
  <si>
    <t>ORD100544</t>
  </si>
  <si>
    <t>2024-09-22</t>
  </si>
  <si>
    <t>Customer 155</t>
  </si>
  <si>
    <t>ORD100545</t>
  </si>
  <si>
    <t>ORD100546</t>
  </si>
  <si>
    <t>2025-09-26</t>
  </si>
  <si>
    <t>ORD100547</t>
  </si>
  <si>
    <t>ORD100548</t>
  </si>
  <si>
    <t>ORD100549</t>
  </si>
  <si>
    <t>2025-10-18</t>
  </si>
  <si>
    <t>ORD100550</t>
  </si>
  <si>
    <t>ORD100551</t>
  </si>
  <si>
    <t>2024-08-26</t>
  </si>
  <si>
    <t>ORD100552</t>
  </si>
  <si>
    <t>ORD100553</t>
  </si>
  <si>
    <t>2024-09-06</t>
  </si>
  <si>
    <t>ORD100554</t>
  </si>
  <si>
    <t>2024-11-30</t>
  </si>
  <si>
    <t>ORD100555</t>
  </si>
  <si>
    <t>ORD100556</t>
  </si>
  <si>
    <t>2025-06-01</t>
  </si>
  <si>
    <t>ORD100557</t>
  </si>
  <si>
    <t>ORD100558</t>
  </si>
  <si>
    <t>2024-09-24</t>
  </si>
  <si>
    <t>ORD100559</t>
  </si>
  <si>
    <t>2024-08-14</t>
  </si>
  <si>
    <t>ORD100560</t>
  </si>
  <si>
    <t>ORD100561</t>
  </si>
  <si>
    <t>2025-02-11</t>
  </si>
  <si>
    <t>ORD100562</t>
  </si>
  <si>
    <t>ORD100563</t>
  </si>
  <si>
    <t>Customer 97</t>
  </si>
  <si>
    <t>ORD100564</t>
  </si>
  <si>
    <t>ORD100565</t>
  </si>
  <si>
    <t>2025-04-01</t>
  </si>
  <si>
    <t>ORD100566</t>
  </si>
  <si>
    <t>ORD100567</t>
  </si>
  <si>
    <t>ORD100568</t>
  </si>
  <si>
    <t>ORD100569</t>
  </si>
  <si>
    <t>ORD100570</t>
  </si>
  <si>
    <t>2025-11-24</t>
  </si>
  <si>
    <t>ORD100571</t>
  </si>
  <si>
    <t>ORD100572</t>
  </si>
  <si>
    <t>ORD100573</t>
  </si>
  <si>
    <t>ORD100574</t>
  </si>
  <si>
    <t>2025-03-19</t>
  </si>
  <si>
    <t>ORD100575</t>
  </si>
  <si>
    <t>2024-07-15</t>
  </si>
  <si>
    <t>ORD100576</t>
  </si>
  <si>
    <t>ORD100577</t>
  </si>
  <si>
    <t>ORD100578</t>
  </si>
  <si>
    <t>2025-11-09</t>
  </si>
  <si>
    <t>ORD100579</t>
  </si>
  <si>
    <t>ORD100580</t>
  </si>
  <si>
    <t>ORD100581</t>
  </si>
  <si>
    <t>ORD100582</t>
  </si>
  <si>
    <t>ORD100583</t>
  </si>
  <si>
    <t>ORD100584</t>
  </si>
  <si>
    <t>2024-02-05</t>
  </si>
  <si>
    <t>ORD100585</t>
  </si>
  <si>
    <t>ORD100586</t>
  </si>
  <si>
    <t>ORD100587</t>
  </si>
  <si>
    <t>ORD100588</t>
  </si>
  <si>
    <t>2025-05-18</t>
  </si>
  <si>
    <t>ORD100589</t>
  </si>
  <si>
    <t>2024-08-12</t>
  </si>
  <si>
    <t>ORD100590</t>
  </si>
  <si>
    <t>2024-03-19</t>
  </si>
  <si>
    <t>ORD100591</t>
  </si>
  <si>
    <t>2024-07-22</t>
  </si>
  <si>
    <t>ORD100592</t>
  </si>
  <si>
    <t>2024-08-02</t>
  </si>
  <si>
    <t>ORD100593</t>
  </si>
  <si>
    <t>ORD100594</t>
  </si>
  <si>
    <t>ORD100595</t>
  </si>
  <si>
    <t>ORD100596</t>
  </si>
  <si>
    <t>ORD100597</t>
  </si>
  <si>
    <t>2025-05-01</t>
  </si>
  <si>
    <t>ORD100598</t>
  </si>
  <si>
    <t>2024-01-09</t>
  </si>
  <si>
    <t>ORD100599</t>
  </si>
  <si>
    <t>ORD100600</t>
  </si>
  <si>
    <t>ORD100601</t>
  </si>
  <si>
    <t>ORD100602</t>
  </si>
  <si>
    <t>ORD100603</t>
  </si>
  <si>
    <t>ORD100604</t>
  </si>
  <si>
    <t>ORD100605</t>
  </si>
  <si>
    <t>ORD100606</t>
  </si>
  <si>
    <t>2025-04-09</t>
  </si>
  <si>
    <t>ORD100607</t>
  </si>
  <si>
    <t>2024-08-15</t>
  </si>
  <si>
    <t>Customer 57</t>
  </si>
  <si>
    <t>ORD100608</t>
  </si>
  <si>
    <t>2024-05-29</t>
  </si>
  <si>
    <t>ORD100609</t>
  </si>
  <si>
    <t>ORD100610</t>
  </si>
  <si>
    <t>ORD100611</t>
  </si>
  <si>
    <t>ORD100612</t>
  </si>
  <si>
    <t>ORD100613</t>
  </si>
  <si>
    <t>ORD100614</t>
  </si>
  <si>
    <t>ORD100615</t>
  </si>
  <si>
    <t>2025-05-23</t>
  </si>
  <si>
    <t>ORD100616</t>
  </si>
  <si>
    <t>ORD100617</t>
  </si>
  <si>
    <t>2024-01-10</t>
  </si>
  <si>
    <t>ORD100618</t>
  </si>
  <si>
    <t>ORD100619</t>
  </si>
  <si>
    <t>ORD100620</t>
  </si>
  <si>
    <t>ORD100621</t>
  </si>
  <si>
    <t>2025-07-20</t>
  </si>
  <si>
    <t>ORD100622</t>
  </si>
  <si>
    <t>ORD100623</t>
  </si>
  <si>
    <t>ORD100624</t>
  </si>
  <si>
    <t>ORD100625</t>
  </si>
  <si>
    <t>ORD100626</t>
  </si>
  <si>
    <t>ORD100627</t>
  </si>
  <si>
    <t>2025-04-07</t>
  </si>
  <si>
    <t>ORD100628</t>
  </si>
  <si>
    <t>2024-10-01</t>
  </si>
  <si>
    <t>ORD100629</t>
  </si>
  <si>
    <t>ORD100630</t>
  </si>
  <si>
    <t>2025-10-25</t>
  </si>
  <si>
    <t>ORD100631</t>
  </si>
  <si>
    <t>ORD100632</t>
  </si>
  <si>
    <t>ORD100633</t>
  </si>
  <si>
    <t>2024-06-06</t>
  </si>
  <si>
    <t>ORD100634</t>
  </si>
  <si>
    <t>ORD100635</t>
  </si>
  <si>
    <t>ORD100636</t>
  </si>
  <si>
    <t>ORD100637</t>
  </si>
  <si>
    <t>ORD100638</t>
  </si>
  <si>
    <t>2024-12-24</t>
  </si>
  <si>
    <t>ORD100639</t>
  </si>
  <si>
    <t>ORD100640</t>
  </si>
  <si>
    <t>2024-05-04</t>
  </si>
  <si>
    <t>ORD100641</t>
  </si>
  <si>
    <t>2025-04-03</t>
  </si>
  <si>
    <t>ORD100642</t>
  </si>
  <si>
    <t>2025-08-05</t>
  </si>
  <si>
    <t>ORD100643</t>
  </si>
  <si>
    <t>Customer 177</t>
  </si>
  <si>
    <t>ORD100644</t>
  </si>
  <si>
    <t>ORD100645</t>
  </si>
  <si>
    <t>2024-10-21</t>
  </si>
  <si>
    <t>ORD100646</t>
  </si>
  <si>
    <t>2024-07-12</t>
  </si>
  <si>
    <t>ORD100647</t>
  </si>
  <si>
    <t>ORD100648</t>
  </si>
  <si>
    <t>2024-08-20</t>
  </si>
  <si>
    <t>ORD100649</t>
  </si>
  <si>
    <t>2025-02-19</t>
  </si>
  <si>
    <t>Customer 13</t>
  </si>
  <si>
    <t>ORD100650</t>
  </si>
  <si>
    <t>ORD100651</t>
  </si>
  <si>
    <t>ORD100652</t>
  </si>
  <si>
    <t>2024-07-01</t>
  </si>
  <si>
    <t>ORD100653</t>
  </si>
  <si>
    <t>ORD100654</t>
  </si>
  <si>
    <t>2025-04-23</t>
  </si>
  <si>
    <t>ORD100655</t>
  </si>
  <si>
    <t>2025-01-30</t>
  </si>
  <si>
    <t>ORD100656</t>
  </si>
  <si>
    <t>ORD100657</t>
  </si>
  <si>
    <t>ORD100658</t>
  </si>
  <si>
    <t>ORD100659</t>
  </si>
  <si>
    <t>2024-01-07</t>
  </si>
  <si>
    <t>ORD100660</t>
  </si>
  <si>
    <t>2024-03-13</t>
  </si>
  <si>
    <t>ORD100661</t>
  </si>
  <si>
    <t>2024-12-12</t>
  </si>
  <si>
    <t>ORD100662</t>
  </si>
  <si>
    <t>2025-10-15</t>
  </si>
  <si>
    <t>ORD100663</t>
  </si>
  <si>
    <t>2025-05-16</t>
  </si>
  <si>
    <t>ORD100664</t>
  </si>
  <si>
    <t>ORD100665</t>
  </si>
  <si>
    <t>ORD100666</t>
  </si>
  <si>
    <t>ORD100667</t>
  </si>
  <si>
    <t>2024-05-20</t>
  </si>
  <si>
    <t>ORD100668</t>
  </si>
  <si>
    <t>2025-04-25</t>
  </si>
  <si>
    <t>ORD100669</t>
  </si>
  <si>
    <t>ORD100670</t>
  </si>
  <si>
    <t>ORD100671</t>
  </si>
  <si>
    <t>ORD100672</t>
  </si>
  <si>
    <t>ORD100673</t>
  </si>
  <si>
    <t>2024-04-24</t>
  </si>
  <si>
    <t>ORD100674</t>
  </si>
  <si>
    <t>ORD100675</t>
  </si>
  <si>
    <t>2024-02-25</t>
  </si>
  <si>
    <t>ORD100676</t>
  </si>
  <si>
    <t>2024-10-24</t>
  </si>
  <si>
    <t>ORD100677</t>
  </si>
  <si>
    <t>ORD100678</t>
  </si>
  <si>
    <t>2025-11-14</t>
  </si>
  <si>
    <t>ORD100679</t>
  </si>
  <si>
    <t>ORD100680</t>
  </si>
  <si>
    <t>ORD100681</t>
  </si>
  <si>
    <t>2025-07-22</t>
  </si>
  <si>
    <t>ORD100682</t>
  </si>
  <si>
    <t>ORD100683</t>
  </si>
  <si>
    <t>2024-04-19</t>
  </si>
  <si>
    <t>ORD100684</t>
  </si>
  <si>
    <t>ORD100685</t>
  </si>
  <si>
    <t>2024-04-28</t>
  </si>
  <si>
    <t>ORD100686</t>
  </si>
  <si>
    <t>2024-11-27</t>
  </si>
  <si>
    <t>ORD100687</t>
  </si>
  <si>
    <t>ORD100688</t>
  </si>
  <si>
    <t>ORD100689</t>
  </si>
  <si>
    <t>2025-10-16</t>
  </si>
  <si>
    <t>ORD100690</t>
  </si>
  <si>
    <t>ORD100691</t>
  </si>
  <si>
    <t>2024-10-17</t>
  </si>
  <si>
    <t>ORD100692</t>
  </si>
  <si>
    <t>ORD100693</t>
  </si>
  <si>
    <t>ORD100694</t>
  </si>
  <si>
    <t>ORD100695</t>
  </si>
  <si>
    <t>ORD100696</t>
  </si>
  <si>
    <t>ORD100697</t>
  </si>
  <si>
    <t>2025-09-29</t>
  </si>
  <si>
    <t>ORD100698</t>
  </si>
  <si>
    <t>2024-07-13</t>
  </si>
  <si>
    <t>ORD100699</t>
  </si>
  <si>
    <t>2024-06-19</t>
  </si>
  <si>
    <t>ORD100700</t>
  </si>
  <si>
    <t>2025-08-29</t>
  </si>
  <si>
    <t>ORD100701</t>
  </si>
  <si>
    <t>2025-08-01</t>
  </si>
  <si>
    <t>ORD100702</t>
  </si>
  <si>
    <t>Customer 141</t>
  </si>
  <si>
    <t>ORD100703</t>
  </si>
  <si>
    <t>2024-11-10</t>
  </si>
  <si>
    <t>ORD100704</t>
  </si>
  <si>
    <t>ORD100705</t>
  </si>
  <si>
    <t>ORD100706</t>
  </si>
  <si>
    <t>Customer 110</t>
  </si>
  <si>
    <t>ORD100707</t>
  </si>
  <si>
    <t>2024-06-13</t>
  </si>
  <si>
    <t>ORD100708</t>
  </si>
  <si>
    <t>2025-07-11</t>
  </si>
  <si>
    <t>ORD100709</t>
  </si>
  <si>
    <t>ORD100710</t>
  </si>
  <si>
    <t>2024-10-31</t>
  </si>
  <si>
    <t>ORD100711</t>
  </si>
  <si>
    <t>2025-08-24</t>
  </si>
  <si>
    <t>ORD100712</t>
  </si>
  <si>
    <t>2025-12-25</t>
  </si>
  <si>
    <t>ORD100713</t>
  </si>
  <si>
    <t>2024-01-28</t>
  </si>
  <si>
    <t>ORD100714</t>
  </si>
  <si>
    <t>2025-11-05</t>
  </si>
  <si>
    <t>ORD100715</t>
  </si>
  <si>
    <t>ORD100716</t>
  </si>
  <si>
    <t>2025-01-23</t>
  </si>
  <si>
    <t>ORD100717</t>
  </si>
  <si>
    <t>2024-09-23</t>
  </si>
  <si>
    <t>ORD100718</t>
  </si>
  <si>
    <t>2024-07-27</t>
  </si>
  <si>
    <t>ORD100719</t>
  </si>
  <si>
    <t>ORD100720</t>
  </si>
  <si>
    <t>2025-10-26</t>
  </si>
  <si>
    <t>ORD100721</t>
  </si>
  <si>
    <t>2025-08-20</t>
  </si>
  <si>
    <t>ORD100722</t>
  </si>
  <si>
    <t>ORD100723</t>
  </si>
  <si>
    <t>ORD100724</t>
  </si>
  <si>
    <t>ORD100725</t>
  </si>
  <si>
    <t>2024-11-05</t>
  </si>
  <si>
    <t>ORD100726</t>
  </si>
  <si>
    <t>2024-12-08</t>
  </si>
  <si>
    <t>Customer 184</t>
  </si>
  <si>
    <t>ORD100727</t>
  </si>
  <si>
    <t>2024-06-29</t>
  </si>
  <si>
    <t>ORD100728</t>
  </si>
  <si>
    <t>2025-07-01</t>
  </si>
  <si>
    <t>ORD100729</t>
  </si>
  <si>
    <t>2024-11-23</t>
  </si>
  <si>
    <t>ORD100730</t>
  </si>
  <si>
    <t>ORD100731</t>
  </si>
  <si>
    <t>2025-07-06</t>
  </si>
  <si>
    <t>ORD100732</t>
  </si>
  <si>
    <t>ORD100733</t>
  </si>
  <si>
    <t>ORD100734</t>
  </si>
  <si>
    <t>2024-05-31</t>
  </si>
  <si>
    <t>ORD100735</t>
  </si>
  <si>
    <t>ORD100736</t>
  </si>
  <si>
    <t>ORD100737</t>
  </si>
  <si>
    <t>2024-03-11</t>
  </si>
  <si>
    <t>ORD100738</t>
  </si>
  <si>
    <t>ORD100739</t>
  </si>
  <si>
    <t>ORD100740</t>
  </si>
  <si>
    <t>ORD100741</t>
  </si>
  <si>
    <t>ORD100742</t>
  </si>
  <si>
    <t>ORD100743</t>
  </si>
  <si>
    <t>2024-05-26</t>
  </si>
  <si>
    <t>ORD100744</t>
  </si>
  <si>
    <t>2024-01-18</t>
  </si>
  <si>
    <t>ORD100745</t>
  </si>
  <si>
    <t>2025-11-01</t>
  </si>
  <si>
    <t>ORD100746</t>
  </si>
  <si>
    <t>ORD100747</t>
  </si>
  <si>
    <t>ORD100748</t>
  </si>
  <si>
    <t>ORD100749</t>
  </si>
  <si>
    <t>ORD100750</t>
  </si>
  <si>
    <t>Customer 33</t>
  </si>
  <si>
    <t>ORD100751</t>
  </si>
  <si>
    <t>ORD100752</t>
  </si>
  <si>
    <t>ORD100753</t>
  </si>
  <si>
    <t>ORD100754</t>
  </si>
  <si>
    <t>Customer 146</t>
  </si>
  <si>
    <t>ORD100755</t>
  </si>
  <si>
    <t>ORD100756</t>
  </si>
  <si>
    <t>ORD100757</t>
  </si>
  <si>
    <t>2024-10-05</t>
  </si>
  <si>
    <t>ORD100758</t>
  </si>
  <si>
    <t>ORD100759</t>
  </si>
  <si>
    <t>ORD100760</t>
  </si>
  <si>
    <t>ORD100761</t>
  </si>
  <si>
    <t>ORD100762</t>
  </si>
  <si>
    <t>2025-07-09</t>
  </si>
  <si>
    <t>ORD100763</t>
  </si>
  <si>
    <t>2024-04-04</t>
  </si>
  <si>
    <t>ORD100764</t>
  </si>
  <si>
    <t>2024-03-09</t>
  </si>
  <si>
    <t>ORD100765</t>
  </si>
  <si>
    <t>ORD100766</t>
  </si>
  <si>
    <t>ORD100767</t>
  </si>
  <si>
    <t>ORD100768</t>
  </si>
  <si>
    <t>ORD100769</t>
  </si>
  <si>
    <t>2025-06-04</t>
  </si>
  <si>
    <t>ORD100770</t>
  </si>
  <si>
    <t>ORD100771</t>
  </si>
  <si>
    <t>ORD100772</t>
  </si>
  <si>
    <t>2024-02-22</t>
  </si>
  <si>
    <t>ORD100773</t>
  </si>
  <si>
    <t>2025-12-20</t>
  </si>
  <si>
    <t>ORD100774</t>
  </si>
  <si>
    <t>2025-12-07</t>
  </si>
  <si>
    <t>ORD100775</t>
  </si>
  <si>
    <t>ORD100776</t>
  </si>
  <si>
    <t>2024-06-17</t>
  </si>
  <si>
    <t>ORD100777</t>
  </si>
  <si>
    <t>2024-10-30</t>
  </si>
  <si>
    <t>ORD100778</t>
  </si>
  <si>
    <t>ORD100779</t>
  </si>
  <si>
    <t>ORD100780</t>
  </si>
  <si>
    <t>ORD100781</t>
  </si>
  <si>
    <t>ORD100782</t>
  </si>
  <si>
    <t>ORD100783</t>
  </si>
  <si>
    <t>2025-09-14</t>
  </si>
  <si>
    <t>ORD100784</t>
  </si>
  <si>
    <t>ORD100785</t>
  </si>
  <si>
    <t>ORD100786</t>
  </si>
  <si>
    <t>ORD100787</t>
  </si>
  <si>
    <t>2024-07-06</t>
  </si>
  <si>
    <t>ORD100788</t>
  </si>
  <si>
    <t>ORD100789</t>
  </si>
  <si>
    <t>ORD100790</t>
  </si>
  <si>
    <t>2024-03-02</t>
  </si>
  <si>
    <t>ORD100791</t>
  </si>
  <si>
    <t>ORD100792</t>
  </si>
  <si>
    <t>ORD100793</t>
  </si>
  <si>
    <t>ORD100794</t>
  </si>
  <si>
    <t>ORD100795</t>
  </si>
  <si>
    <t>2024-02-16</t>
  </si>
  <si>
    <t>ORD100796</t>
  </si>
  <si>
    <t>ORD100797</t>
  </si>
  <si>
    <t>2024-06-04</t>
  </si>
  <si>
    <t>ORD100798</t>
  </si>
  <si>
    <t>ORD100799</t>
  </si>
  <si>
    <t>ORD100800</t>
  </si>
  <si>
    <t>ORD100801</t>
  </si>
  <si>
    <t>ORD100802</t>
  </si>
  <si>
    <t>2024-09-04</t>
  </si>
  <si>
    <t>ORD100803</t>
  </si>
  <si>
    <t>ORD100804</t>
  </si>
  <si>
    <t>ORD100805</t>
  </si>
  <si>
    <t>2025-08-30</t>
  </si>
  <si>
    <t>ORD100806</t>
  </si>
  <si>
    <t>ORD100807</t>
  </si>
  <si>
    <t>ORD100808</t>
  </si>
  <si>
    <t>ORD100809</t>
  </si>
  <si>
    <t>2024-05-30</t>
  </si>
  <si>
    <t>ORD100810</t>
  </si>
  <si>
    <t>2025-10-23</t>
  </si>
  <si>
    <t>ORD100811</t>
  </si>
  <si>
    <t>ORD100812</t>
  </si>
  <si>
    <t>ORD100813</t>
  </si>
  <si>
    <t>ORD100814</t>
  </si>
  <si>
    <t>ORD100815</t>
  </si>
  <si>
    <t>2025-05-30</t>
  </si>
  <si>
    <t>ORD100816</t>
  </si>
  <si>
    <t>ORD100817</t>
  </si>
  <si>
    <t>ORD100818</t>
  </si>
  <si>
    <t>ORD100819</t>
  </si>
  <si>
    <t>2025-07-30</t>
  </si>
  <si>
    <t>ORD100820</t>
  </si>
  <si>
    <t>ORD100821</t>
  </si>
  <si>
    <t>ORD100822</t>
  </si>
  <si>
    <t>ORD100823</t>
  </si>
  <si>
    <t>ORD100824</t>
  </si>
  <si>
    <t>2024-01-01</t>
  </si>
  <si>
    <t>ORD100825</t>
  </si>
  <si>
    <t>ORD100826</t>
  </si>
  <si>
    <t>ORD100827</t>
  </si>
  <si>
    <t>2024-05-11</t>
  </si>
  <si>
    <t>ORD100828</t>
  </si>
  <si>
    <t>ORD100829</t>
  </si>
  <si>
    <t>ORD100830</t>
  </si>
  <si>
    <t>ORD100831</t>
  </si>
  <si>
    <t>2024-11-01</t>
  </si>
  <si>
    <t>ORD100832</t>
  </si>
  <si>
    <t>ORD100833</t>
  </si>
  <si>
    <t>2024-04-08</t>
  </si>
  <si>
    <t>ORD100834</t>
  </si>
  <si>
    <t>2024-12-01</t>
  </si>
  <si>
    <t>ORD100835</t>
  </si>
  <si>
    <t>ORD100836</t>
  </si>
  <si>
    <t>ORD100837</t>
  </si>
  <si>
    <t>ORD100838</t>
  </si>
  <si>
    <t>ORD100839</t>
  </si>
  <si>
    <t>ORD100840</t>
  </si>
  <si>
    <t>ORD100841</t>
  </si>
  <si>
    <t>ORD100842</t>
  </si>
  <si>
    <t>ORD100843</t>
  </si>
  <si>
    <t>2024-04-07</t>
  </si>
  <si>
    <t>ORD100844</t>
  </si>
  <si>
    <t>ORD100845</t>
  </si>
  <si>
    <t>ORD100846</t>
  </si>
  <si>
    <t>ORD100847</t>
  </si>
  <si>
    <t>2024-05-09</t>
  </si>
  <si>
    <t>ORD100848</t>
  </si>
  <si>
    <t>2024-08-05</t>
  </si>
  <si>
    <t>ORD100849</t>
  </si>
  <si>
    <t>ORD100850</t>
  </si>
  <si>
    <t>2024-01-22</t>
  </si>
  <si>
    <t>ORD100851</t>
  </si>
  <si>
    <t>ORD100852</t>
  </si>
  <si>
    <t>ORD100853</t>
  </si>
  <si>
    <t>ORD100854</t>
  </si>
  <si>
    <t>2025-02-21</t>
  </si>
  <si>
    <t>ORD100855</t>
  </si>
  <si>
    <t>Customer 82</t>
  </si>
  <si>
    <t>ORD100856</t>
  </si>
  <si>
    <t>ORD100857</t>
  </si>
  <si>
    <t>ORD100858</t>
  </si>
  <si>
    <t>2025-02-14</t>
  </si>
  <si>
    <t>ORD100859</t>
  </si>
  <si>
    <t>ORD100860</t>
  </si>
  <si>
    <t>2025-06-08</t>
  </si>
  <si>
    <t>ORD100861</t>
  </si>
  <si>
    <t>ORD100862</t>
  </si>
  <si>
    <t>ORD100863</t>
  </si>
  <si>
    <t>2024-04-02</t>
  </si>
  <si>
    <t>ORD100864</t>
  </si>
  <si>
    <t>2025-10-29</t>
  </si>
  <si>
    <t>ORD100865</t>
  </si>
  <si>
    <t>ORD100866</t>
  </si>
  <si>
    <t>ORD100867</t>
  </si>
  <si>
    <t>ORD100868</t>
  </si>
  <si>
    <t>ORD100869</t>
  </si>
  <si>
    <t>2025-09-01</t>
  </si>
  <si>
    <t>ORD100870</t>
  </si>
  <si>
    <t>ORD100871</t>
  </si>
  <si>
    <t>ORD100872</t>
  </si>
  <si>
    <t>2025-10-13</t>
  </si>
  <si>
    <t>ORD100873</t>
  </si>
  <si>
    <t>ORD100874</t>
  </si>
  <si>
    <t>ORD100875</t>
  </si>
  <si>
    <t>ORD100876</t>
  </si>
  <si>
    <t>ORD100877</t>
  </si>
  <si>
    <t>Customer 129</t>
  </si>
  <si>
    <t>ORD100878</t>
  </si>
  <si>
    <t>ORD100879</t>
  </si>
  <si>
    <t>ORD100880</t>
  </si>
  <si>
    <t>2025-08-28</t>
  </si>
  <si>
    <t>ORD100881</t>
  </si>
  <si>
    <t>2024-05-19</t>
  </si>
  <si>
    <t>ORD100882</t>
  </si>
  <si>
    <t>2025-11-07</t>
  </si>
  <si>
    <t>ORD100883</t>
  </si>
  <si>
    <t>2025-10-10</t>
  </si>
  <si>
    <t>ORD100884</t>
  </si>
  <si>
    <t>ORD100885</t>
  </si>
  <si>
    <t>ORD100886</t>
  </si>
  <si>
    <t>2024-08-19</t>
  </si>
  <si>
    <t>ORD100887</t>
  </si>
  <si>
    <t>2024-06-02</t>
  </si>
  <si>
    <t>ORD100888</t>
  </si>
  <si>
    <t>ORD100889</t>
  </si>
  <si>
    <t>ORD100890</t>
  </si>
  <si>
    <t>2024-11-25</t>
  </si>
  <si>
    <t>ORD100891</t>
  </si>
  <si>
    <t>ORD100892</t>
  </si>
  <si>
    <t>ORD100893</t>
  </si>
  <si>
    <t>ORD100894</t>
  </si>
  <si>
    <t>ORD100895</t>
  </si>
  <si>
    <t>ORD100896</t>
  </si>
  <si>
    <t>ORD100897</t>
  </si>
  <si>
    <t>ORD100898</t>
  </si>
  <si>
    <t>ORD100899</t>
  </si>
  <si>
    <t>2024-03-10</t>
  </si>
  <si>
    <t>ORD100900</t>
  </si>
  <si>
    <t>ORD100901</t>
  </si>
  <si>
    <t>ORD100902</t>
  </si>
  <si>
    <t>ORD100903</t>
  </si>
  <si>
    <t>ORD100904</t>
  </si>
  <si>
    <t>ORD100905</t>
  </si>
  <si>
    <t>ORD100906</t>
  </si>
  <si>
    <t>ORD100907</t>
  </si>
  <si>
    <t>ORD100908</t>
  </si>
  <si>
    <t>ORD100909</t>
  </si>
  <si>
    <t>ORD100910</t>
  </si>
  <si>
    <t>2024-08-16</t>
  </si>
  <si>
    <t>ORD100911</t>
  </si>
  <si>
    <t>ORD100912</t>
  </si>
  <si>
    <t>2024-11-26</t>
  </si>
  <si>
    <t>ORD100913</t>
  </si>
  <si>
    <t>2025-02-23</t>
  </si>
  <si>
    <t>ORD100914</t>
  </si>
  <si>
    <t>ORD100915</t>
  </si>
  <si>
    <t>ORD100916</t>
  </si>
  <si>
    <t>ORD100917</t>
  </si>
  <si>
    <t>ORD100918</t>
  </si>
  <si>
    <t>2025-04-18</t>
  </si>
  <si>
    <t>ORD100919</t>
  </si>
  <si>
    <t>ORD100920</t>
  </si>
  <si>
    <t>2024-05-10</t>
  </si>
  <si>
    <t>ORD100921</t>
  </si>
  <si>
    <t>ORD100922</t>
  </si>
  <si>
    <t>ORD100923</t>
  </si>
  <si>
    <t>2025-08-26</t>
  </si>
  <si>
    <t>ORD100924</t>
  </si>
  <si>
    <t>ORD100925</t>
  </si>
  <si>
    <t>ORD100926</t>
  </si>
  <si>
    <t>ORD100927</t>
  </si>
  <si>
    <t>ORD100928</t>
  </si>
  <si>
    <t>ORD100929</t>
  </si>
  <si>
    <t>2024-11-16</t>
  </si>
  <si>
    <t>ORD100930</t>
  </si>
  <si>
    <t>ORD100931</t>
  </si>
  <si>
    <t>2024-03-24</t>
  </si>
  <si>
    <t>ORD100932</t>
  </si>
  <si>
    <t>ORD100933</t>
  </si>
  <si>
    <t>ORD100934</t>
  </si>
  <si>
    <t>ORD100935</t>
  </si>
  <si>
    <t>2024-08-24</t>
  </si>
  <si>
    <t>ORD100936</t>
  </si>
  <si>
    <t>ORD100937</t>
  </si>
  <si>
    <t>ORD100938</t>
  </si>
  <si>
    <t>2024-04-20</t>
  </si>
  <si>
    <t>ORD100939</t>
  </si>
  <si>
    <t>ORD100940</t>
  </si>
  <si>
    <t>ORD100941</t>
  </si>
  <si>
    <t>ORD100942</t>
  </si>
  <si>
    <t>2024-05-03</t>
  </si>
  <si>
    <t>ORD100943</t>
  </si>
  <si>
    <t>ORD100944</t>
  </si>
  <si>
    <t>ORD100945</t>
  </si>
  <si>
    <t>2025-05-27</t>
  </si>
  <si>
    <t>ORD100946</t>
  </si>
  <si>
    <t>ORD100947</t>
  </si>
  <si>
    <t>ORD100948</t>
  </si>
  <si>
    <t>2025-04-19</t>
  </si>
  <si>
    <t>Customer 20</t>
  </si>
  <si>
    <t>ORD100949</t>
  </si>
  <si>
    <t>ORD100950</t>
  </si>
  <si>
    <t>ORD100951</t>
  </si>
  <si>
    <t>ORD100952</t>
  </si>
  <si>
    <t>ORD100953</t>
  </si>
  <si>
    <t>2025-03-03</t>
  </si>
  <si>
    <t>ORD100954</t>
  </si>
  <si>
    <t>ORD100955</t>
  </si>
  <si>
    <t>2024-06-30</t>
  </si>
  <si>
    <t>ORD100956</t>
  </si>
  <si>
    <t>ORD100957</t>
  </si>
  <si>
    <t>ORD100958</t>
  </si>
  <si>
    <t>ORD100959</t>
  </si>
  <si>
    <t>ORD100960</t>
  </si>
  <si>
    <t>ORD100961</t>
  </si>
  <si>
    <t>ORD100962</t>
  </si>
  <si>
    <t>2024-07-16</t>
  </si>
  <si>
    <t>ORD100963</t>
  </si>
  <si>
    <t>2024-05-14</t>
  </si>
  <si>
    <t>ORD100964</t>
  </si>
  <si>
    <t>ORD100965</t>
  </si>
  <si>
    <t>ORD100966</t>
  </si>
  <si>
    <t>ORD100967</t>
  </si>
  <si>
    <t>ORD100968</t>
  </si>
  <si>
    <t>ORD100969</t>
  </si>
  <si>
    <t>2025-01-22</t>
  </si>
  <si>
    <t>ORD100970</t>
  </si>
  <si>
    <t>2024-10-22</t>
  </si>
  <si>
    <t>ORD100971</t>
  </si>
  <si>
    <t>ORD100972</t>
  </si>
  <si>
    <t>ORD100973</t>
  </si>
  <si>
    <t>ORD100974</t>
  </si>
  <si>
    <t>ORD100975</t>
  </si>
  <si>
    <t>ORD100976</t>
  </si>
  <si>
    <t>2024-09-08</t>
  </si>
  <si>
    <t>ORD100977</t>
  </si>
  <si>
    <t>ORD100978</t>
  </si>
  <si>
    <t>ORD100979</t>
  </si>
  <si>
    <t>ORD100980</t>
  </si>
  <si>
    <t>2024-10-25</t>
  </si>
  <si>
    <t>ORD100981</t>
  </si>
  <si>
    <t>2025-07-31</t>
  </si>
  <si>
    <t>ORD100982</t>
  </si>
  <si>
    <t>ORD100983</t>
  </si>
  <si>
    <t>ORD100984</t>
  </si>
  <si>
    <t>ORD100985</t>
  </si>
  <si>
    <t>ORD100986</t>
  </si>
  <si>
    <t>2025-01-10</t>
  </si>
  <si>
    <t>ORD100987</t>
  </si>
  <si>
    <t>ORD100988</t>
  </si>
  <si>
    <t>ORD100989</t>
  </si>
  <si>
    <t>ORD100990</t>
  </si>
  <si>
    <t>ORD100991</t>
  </si>
  <si>
    <t>ORD100992</t>
  </si>
  <si>
    <t>ORD100993</t>
  </si>
  <si>
    <t>ORD100994</t>
  </si>
  <si>
    <t>ORD100995</t>
  </si>
  <si>
    <t>ORD100996</t>
  </si>
  <si>
    <t>ORD100997</t>
  </si>
  <si>
    <t>ORD100998</t>
  </si>
  <si>
    <t>ORD100999</t>
  </si>
  <si>
    <t>ORD101000</t>
  </si>
  <si>
    <t>2025-08-31</t>
  </si>
  <si>
    <t>ORD101001</t>
  </si>
  <si>
    <t>Year</t>
  </si>
  <si>
    <t>Month</t>
  </si>
  <si>
    <t>Month Number</t>
  </si>
  <si>
    <t>Profit Margin %</t>
  </si>
  <si>
    <t>Discount Bucket</t>
  </si>
  <si>
    <t>TOTAL SALES</t>
  </si>
  <si>
    <t>TOTAL PROFIT</t>
  </si>
  <si>
    <t>TOAL ORDER</t>
  </si>
  <si>
    <t>TOTAL QUANTITY SOLD</t>
  </si>
  <si>
    <t>AVG ORDER VALUE</t>
  </si>
  <si>
    <t>AVG PROFIT</t>
  </si>
  <si>
    <t>PROFIT MARGIN</t>
  </si>
  <si>
    <t>KPIS</t>
  </si>
  <si>
    <t>WHICH MONTH GENERATED HIGHEST SALES</t>
  </si>
  <si>
    <t>Sum of Sales</t>
  </si>
  <si>
    <t>Row Labels</t>
  </si>
  <si>
    <t>January</t>
  </si>
  <si>
    <t>February</t>
  </si>
  <si>
    <t>March</t>
  </si>
  <si>
    <t>April</t>
  </si>
  <si>
    <t>May</t>
  </si>
  <si>
    <t>June</t>
  </si>
  <si>
    <t>July</t>
  </si>
  <si>
    <t>August</t>
  </si>
  <si>
    <t>September</t>
  </si>
  <si>
    <t>October</t>
  </si>
  <si>
    <t>November</t>
  </si>
  <si>
    <t>December</t>
  </si>
  <si>
    <t>Grand Total</t>
  </si>
  <si>
    <t>WHICH MONTH GENERATED HIGHES PROFIT</t>
  </si>
  <si>
    <t>Sum of Profit</t>
  </si>
  <si>
    <t>YEAR WISE PROFIT PERCENTAGE ANALYSIS</t>
  </si>
  <si>
    <t>Average of Profit Margin %</t>
  </si>
  <si>
    <t>TOP KPIS</t>
  </si>
  <si>
    <t xml:space="preserve">TOTAL QUANTITY SOLD </t>
  </si>
  <si>
    <t>Region-wise Sales &amp; Profit</t>
  </si>
  <si>
    <t>STATE WISE SALES</t>
  </si>
  <si>
    <t>Category-wise Sales Contribution</t>
  </si>
  <si>
    <t>Category-wise Profit — Bar chart</t>
  </si>
  <si>
    <t>Sub Category Wise Profit</t>
  </si>
  <si>
    <t>Product by sales</t>
  </si>
  <si>
    <t>SalesPerson Performance</t>
  </si>
  <si>
    <t>Segment wise sales and profit</t>
  </si>
  <si>
    <t>Discount Bucket vs Profit</t>
  </si>
  <si>
    <t>High (21-30%)</t>
  </si>
  <si>
    <t>Low (1-10%)</t>
  </si>
  <si>
    <t>Medium (11-20%)</t>
  </si>
  <si>
    <t>No Discount</t>
  </si>
  <si>
    <t>Discount % vs Profit</t>
  </si>
  <si>
    <t>Sales &amp; Profit Performance Dashboard</t>
  </si>
  <si>
    <t>FILTERS/SLICERS</t>
  </si>
  <si>
    <t>Average profit margin %</t>
  </si>
  <si>
    <t>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</si>
</sst>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36"/>
      <color theme="2"/>
      <name val="Calibri"/>
      <family val="2"/>
      <scheme val="minor"/>
    </font>
    <font>
      <sz val="22"/>
      <color theme="2"/>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1"/>
        <bgColor indexed="64"/>
      </patternFill>
    </fill>
    <fill>
      <patternFill patternType="solid">
        <fgColor theme="1" tint="0.34998626667073579"/>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25">
    <xf numFmtId="0" fontId="0" fillId="0" borderId="0" xfId="0"/>
    <xf numFmtId="0" fontId="1" fillId="0" borderId="0" xfId="0" applyFont="1"/>
    <xf numFmtId="9" fontId="0" fillId="0" borderId="0" xfId="1" applyFont="1"/>
    <xf numFmtId="14" fontId="0" fillId="0" borderId="0" xfId="0" applyNumberFormat="1"/>
    <xf numFmtId="164" fontId="0" fillId="0" borderId="0" xfId="0" applyNumberFormat="1"/>
    <xf numFmtId="164" fontId="0" fillId="0" borderId="0" xfId="2" applyNumberFormat="1" applyFont="1"/>
    <xf numFmtId="0" fontId="0" fillId="0" borderId="0" xfId="0" pivotButton="1"/>
    <xf numFmtId="0" fontId="0" fillId="0" borderId="0" xfId="0" applyAlignment="1">
      <alignment horizontal="left"/>
    </xf>
    <xf numFmtId="9"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2" borderId="0" xfId="0" applyFill="1"/>
    <xf numFmtId="0" fontId="4" fillId="2" borderId="0" xfId="0" applyFont="1" applyFill="1" applyAlignment="1">
      <alignment vertical="center"/>
    </xf>
    <xf numFmtId="0" fontId="4" fillId="4" borderId="0" xfId="0" applyFont="1" applyFill="1" applyAlignment="1">
      <alignment horizontal="center" vertical="center"/>
    </xf>
    <xf numFmtId="0" fontId="0" fillId="2" borderId="0" xfId="0" applyFill="1" applyAlignment="1">
      <alignment horizontal="center"/>
    </xf>
    <xf numFmtId="0" fontId="3" fillId="3" borderId="0" xfId="0" applyFont="1" applyFill="1" applyAlignment="1">
      <alignment horizontal="center"/>
    </xf>
    <xf numFmtId="0" fontId="0" fillId="0" borderId="0" xfId="0" applyAlignment="1">
      <alignment horizontal="center"/>
    </xf>
    <xf numFmtId="0" fontId="1" fillId="0" borderId="0" xfId="0" applyFont="1" applyAlignment="1">
      <alignment horizontal="center"/>
    </xf>
  </cellXfs>
  <cellStyles count="3">
    <cellStyle name="Currency" xfId="2" builtinId="4"/>
    <cellStyle name="Normal" xfId="0" builtinId="0"/>
    <cellStyle name="Per cent" xfId="1" builtinId="5"/>
  </cellStyles>
  <dxfs count="9">
    <dxf>
      <numFmt numFmtId="0" formatCode="General"/>
    </dxf>
    <dxf>
      <numFmt numFmtId="0" formatCode="General"/>
    </dxf>
    <dxf>
      <numFmt numFmtId="0" formatCode="General"/>
    </dxf>
    <dxf>
      <numFmt numFmtId="0" formatCode="General"/>
    </dxf>
    <dxf>
      <numFmt numFmtId="164" formatCode="&quot;₹&quot;#,##0.00"/>
    </dxf>
    <dxf>
      <font>
        <b val="0"/>
        <i val="0"/>
        <strike val="0"/>
        <condense val="0"/>
        <extend val="0"/>
        <outline val="0"/>
        <shadow val="0"/>
        <u val="none"/>
        <vertAlign val="baseline"/>
        <sz val="11"/>
        <color theme="1"/>
        <name val="Calibri"/>
        <family val="2"/>
        <scheme val="minor"/>
      </font>
    </dxf>
    <dxf>
      <numFmt numFmtId="164" formatCode="&quot;₹&quot;#,##0.00"/>
    </dxf>
    <dxf>
      <numFmt numFmtId="19" formatCode="dd/mm/yy"/>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[AI_Assisted_Sales_Dashboard_Dataset_1000_Rows.xlsx]ANALYSIS!PivotTable20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 Wise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ANALYSIS!$A$4:$A$16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ANALYSIS!$B$4:$B$16</c:f>
              <c:numCache>
                <c:formatCode>"₹"#,##0.00</c:formatCode>
                <c:ptCount val="12"/>
                <c:pt idx="0">
                  <c:v>355999.32999999996</c:v>
                </c:pt>
                <c:pt idx="1">
                  <c:v>140042.73000000001</c:v>
                </c:pt>
                <c:pt idx="2">
                  <c:v>367070.95000000007</c:v>
                </c:pt>
                <c:pt idx="3">
                  <c:v>310082.86000000004</c:v>
                </c:pt>
                <c:pt idx="4">
                  <c:v>266511</c:v>
                </c:pt>
                <c:pt idx="5">
                  <c:v>287893.18</c:v>
                </c:pt>
                <c:pt idx="6">
                  <c:v>346784.4800000001</c:v>
                </c:pt>
                <c:pt idx="7">
                  <c:v>239372.65000000008</c:v>
                </c:pt>
                <c:pt idx="8">
                  <c:v>297494.26</c:v>
                </c:pt>
                <c:pt idx="9">
                  <c:v>225012.92999999996</c:v>
                </c:pt>
                <c:pt idx="10">
                  <c:v>284343.11000000004</c:v>
                </c:pt>
                <c:pt idx="11">
                  <c:v>344847.57999999996</c:v>
                </c:pt>
              </c:numCache>
            </c:numRef>
          </c:val>
          <c:smooth val="0"/>
          <c:extLst>
            <c:ext xmlns:c16="http://schemas.microsoft.com/office/drawing/2014/chart" uri="{C3380CC4-5D6E-409C-BE32-E72D297353CC}">
              <c16:uniqueId val="{00000000-C543-BD4E-A284-EB7C9778DBEA}"/>
            </c:ext>
          </c:extLst>
        </c:ser>
        <c:dLbls>
          <c:showLegendKey val="0"/>
          <c:showVal val="0"/>
          <c:showCatName val="0"/>
          <c:showSerName val="0"/>
          <c:showPercent val="0"/>
          <c:showBubbleSize val="0"/>
        </c:dLbls>
        <c:marker val="1"/>
        <c:smooth val="0"/>
        <c:axId val="1414133760"/>
        <c:axId val="1478456896"/>
      </c:lineChart>
      <c:catAx>
        <c:axId val="14141337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456896"/>
        <c:crosses val="autoZero"/>
        <c:auto val="1"/>
        <c:lblAlgn val="ctr"/>
        <c:lblOffset val="100"/>
        <c:noMultiLvlLbl val="0"/>
      </c:catAx>
      <c:valAx>
        <c:axId val="147845689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13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[AI_Assisted_Sales_Dashboard_Dataset_1000_Rows.xlsx]ANALYSIS!PivotTable21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 Wise Profits</a:t>
            </a:r>
            <a:r>
              <a:rPr lang="en-US" baseline="0"/>
              <a:t>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ANALYSIS!$B$20</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cat>
            <c:strRef>
              <c:f>ANALYSIS!$A$21:$A$33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ANALYSIS!$B$21:$B$33</c:f>
              <c:numCache>
                <c:formatCode>"₹"#,##0.00</c:formatCode>
                <c:ptCount val="12"/>
                <c:pt idx="0">
                  <c:v>44290.710000000014</c:v>
                </c:pt>
                <c:pt idx="1">
                  <c:v>9348.99</c:v>
                </c:pt>
                <c:pt idx="2">
                  <c:v>35843.57</c:v>
                </c:pt>
                <c:pt idx="3">
                  <c:v>24943.44999999999</c:v>
                </c:pt>
                <c:pt idx="4">
                  <c:v>26622.010000000002</c:v>
                </c:pt>
                <c:pt idx="5">
                  <c:v>31035.030000000002</c:v>
                </c:pt>
                <c:pt idx="6">
                  <c:v>37681.550000000003</c:v>
                </c:pt>
                <c:pt idx="7">
                  <c:v>27130.529999999995</c:v>
                </c:pt>
                <c:pt idx="8">
                  <c:v>35406.109999999979</c:v>
                </c:pt>
                <c:pt idx="9">
                  <c:v>21609.420000000002</c:v>
                </c:pt>
                <c:pt idx="10">
                  <c:v>26471.029999999995</c:v>
                </c:pt>
                <c:pt idx="11">
                  <c:v>39030.21</c:v>
                </c:pt>
              </c:numCache>
            </c:numRef>
          </c:val>
          <c:smooth val="0"/>
          <c:extLst>
            <c:ext xmlns:c16="http://schemas.microsoft.com/office/drawing/2014/chart" uri="{C3380CC4-5D6E-409C-BE32-E72D297353CC}">
              <c16:uniqueId val="{00000000-2AB5-D64C-826D-9D09067C4F9D}"/>
            </c:ext>
          </c:extLst>
        </c:ser>
        <c:dLbls>
          <c:showLegendKey val="0"/>
          <c:showVal val="0"/>
          <c:showCatName val="0"/>
          <c:showSerName val="0"/>
          <c:showPercent val="0"/>
          <c:showBubbleSize val="0"/>
        </c:dLbls>
        <c:smooth val="0"/>
        <c:axId val="1457887360"/>
        <c:axId val="1457889152"/>
      </c:lineChart>
      <c:catAx>
        <c:axId val="14578873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7889152"/>
        <c:crosses val="autoZero"/>
        <c:auto val="1"/>
        <c:lblAlgn val="ctr"/>
        <c:lblOffset val="100"/>
        <c:noMultiLvlLbl val="0"/>
      </c:catAx>
      <c:valAx>
        <c:axId val="145788915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788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[AI_Assisted_Sales_Dashboard_Dataset_1000_Rows.xlsx]ANALYSIS!PivotTable22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 Wise Profit Percentage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ANALYSIS!$B$37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639-0645-9380-9EDF6CA35C4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639-0645-9380-9EDF6CA35C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ANALYSIS!$A$38:$A$40</c:f>
              <c:strCache>
                <c:ptCount val="2"/>
                <c:pt idx="0">
                  <c:v>2024</c:v>
                </c:pt>
                <c:pt idx="1">
                  <c:v>2025</c:v>
                </c:pt>
              </c:strCache>
            </c:strRef>
          </c:cat>
          <c:val>
            <c:numRef>
              <c:f>ANALYSIS!$B$38:$B$40</c:f>
              <c:numCache>
                <c:formatCode>0%</c:formatCode>
                <c:ptCount val="2"/>
                <c:pt idx="0">
                  <c:v>0.11391744637612898</c:v>
                </c:pt>
                <c:pt idx="1">
                  <c:v>9.5117545665689307E-2</c:v>
                </c:pt>
              </c:numCache>
            </c:numRef>
          </c:val>
          <c:extLst>
            <c:ext xmlns:c16="http://schemas.microsoft.com/office/drawing/2014/chart" uri="{C3380CC4-5D6E-409C-BE32-E72D297353CC}">
              <c16:uniqueId val="{00000000-11FD-7947-86D5-A4364AA33C5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Region</a:t>
            </a:r>
            <a:r>
              <a:rPr lang="en-GB" baseline="0"/>
              <a:t> Wise Sakes and Profit</a:t>
            </a:r>
            <a:r>
              <a:rPr lang="en-GB"/>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ANALYSIS!$B$44</c:f>
              <c:strCache>
                <c:ptCount val="1"/>
                <c:pt idx="0">
                  <c:v>Sum of 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ANALYSIS!$A$45:$A$49</c:f>
              <c:strCache>
                <c:ptCount val="4"/>
                <c:pt idx="0">
                  <c:v>East</c:v>
                </c:pt>
                <c:pt idx="1">
                  <c:v>North</c:v>
                </c:pt>
                <c:pt idx="2">
                  <c:v>South</c:v>
                </c:pt>
                <c:pt idx="3">
                  <c:v>West</c:v>
                </c:pt>
              </c:strCache>
            </c:strRef>
          </c:cat>
          <c:val>
            <c:numRef>
              <c:f>ANALYSIS!$B$45:$B$49</c:f>
              <c:numCache>
                <c:formatCode>"₹"#,##0.00</c:formatCode>
                <c:ptCount val="4"/>
                <c:pt idx="0">
                  <c:v>92854.749999999956</c:v>
                </c:pt>
                <c:pt idx="1">
                  <c:v>97129.51</c:v>
                </c:pt>
                <c:pt idx="2">
                  <c:v>80293.75999999998</c:v>
                </c:pt>
                <c:pt idx="3">
                  <c:v>89134.59</c:v>
                </c:pt>
              </c:numCache>
            </c:numRef>
          </c:val>
          <c:extLst>
            <c:ext xmlns:c16="http://schemas.microsoft.com/office/drawing/2014/chart" uri="{C3380CC4-5D6E-409C-BE32-E72D297353CC}">
              <c16:uniqueId val="{00000000-A7A5-2A4F-8613-7C6F5011F331}"/>
            </c:ext>
          </c:extLst>
        </c:ser>
        <c:ser>
          <c:idx val="1"/>
          <c:order val="1"/>
          <c:tx>
            <c:strRef>
              <c:f>ANALYSIS!$C$44</c:f>
              <c:strCache>
                <c:ptCount val="1"/>
                <c:pt idx="0">
                  <c:v>Sum of Sales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ANALYSIS!$A$45:$A$49</c:f>
              <c:strCache>
                <c:ptCount val="4"/>
                <c:pt idx="0">
                  <c:v>East</c:v>
                </c:pt>
                <c:pt idx="1">
                  <c:v>North</c:v>
                </c:pt>
                <c:pt idx="2">
                  <c:v>South</c:v>
                </c:pt>
                <c:pt idx="3">
                  <c:v>West</c:v>
                </c:pt>
              </c:strCache>
            </c:strRef>
          </c:cat>
          <c:val>
            <c:numRef>
              <c:f>ANALYSIS!$C$45:$C$49</c:f>
              <c:numCache>
                <c:formatCode>"₹"#,##0.00</c:formatCode>
                <c:ptCount val="4"/>
                <c:pt idx="0">
                  <c:v>888709.5399999998</c:v>
                </c:pt>
                <c:pt idx="1">
                  <c:v>889350.76000000013</c:v>
                </c:pt>
                <c:pt idx="2">
                  <c:v>794744.14999999991</c:v>
                </c:pt>
                <c:pt idx="3">
                  <c:v>892650.60999999975</c:v>
                </c:pt>
              </c:numCache>
            </c:numRef>
          </c:val>
          <c:extLst>
            <c:ext xmlns:c16="http://schemas.microsoft.com/office/drawing/2014/chart" uri="{C3380CC4-5D6E-409C-BE32-E72D297353CC}">
              <c16:uniqueId val="{00000001-A7A5-2A4F-8613-7C6F5011F331}"/>
            </c:ext>
          </c:extLst>
        </c:ser>
        <c:dLbls>
          <c:showLegendKey val="0"/>
          <c:showVal val="0"/>
          <c:showCatName val="0"/>
          <c:showSerName val="0"/>
          <c:showPercent val="0"/>
          <c:showBubbleSize val="0"/>
        </c:dLbls>
        <c:gapWidth val="115"/>
        <c:overlap val="-20"/>
        <c:axId val="1583331328"/>
        <c:axId val="1650913984"/>
      </c:barChart>
      <c:catAx>
        <c:axId val="15833313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0913984"/>
        <c:crosses val="autoZero"/>
        <c:auto val="1"/>
        <c:lblAlgn val="ctr"/>
        <c:lblOffset val="100"/>
        <c:noMultiLvlLbl val="0"/>
      </c:catAx>
      <c:valAx>
        <c:axId val="1650913984"/>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333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 Wise Sales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ANALYSIS!$B$52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ANALYSIS!$A$53:$A$69</c:f>
              <c:strCache>
                <c:ptCount val="16"/>
                <c:pt idx="0">
                  <c:v>Assam</c:v>
                </c:pt>
                <c:pt idx="1">
                  <c:v>Bihar</c:v>
                </c:pt>
                <c:pt idx="2">
                  <c:v>Delhi</c:v>
                </c:pt>
                <c:pt idx="3">
                  <c:v>Goa</c:v>
                </c:pt>
                <c:pt idx="4">
                  <c:v>Gujarat</c:v>
                </c:pt>
                <c:pt idx="5">
                  <c:v>Haryana</c:v>
                </c:pt>
                <c:pt idx="6">
                  <c:v>Karnataka</c:v>
                </c:pt>
                <c:pt idx="7">
                  <c:v>Kerala</c:v>
                </c:pt>
                <c:pt idx="8">
                  <c:v>Maharashtra</c:v>
                </c:pt>
                <c:pt idx="9">
                  <c:v>Odisha</c:v>
                </c:pt>
                <c:pt idx="10">
                  <c:v>Punjab</c:v>
                </c:pt>
                <c:pt idx="11">
                  <c:v>Rajasthan</c:v>
                </c:pt>
                <c:pt idx="12">
                  <c:v>Tamil Nadu</c:v>
                </c:pt>
                <c:pt idx="13">
                  <c:v>Telangana</c:v>
                </c:pt>
                <c:pt idx="14">
                  <c:v>Uttarakhand</c:v>
                </c:pt>
                <c:pt idx="15">
                  <c:v>West Bengal</c:v>
                </c:pt>
              </c:strCache>
            </c:strRef>
          </c:cat>
          <c:val>
            <c:numRef>
              <c:f>ANALYSIS!$B$53:$B$69</c:f>
              <c:numCache>
                <c:formatCode>"₹"#,##0.00</c:formatCode>
                <c:ptCount val="16"/>
                <c:pt idx="0">
                  <c:v>265975.67</c:v>
                </c:pt>
                <c:pt idx="1">
                  <c:v>192179.78</c:v>
                </c:pt>
                <c:pt idx="2">
                  <c:v>237996.02999999997</c:v>
                </c:pt>
                <c:pt idx="3">
                  <c:v>151554.30999999994</c:v>
                </c:pt>
                <c:pt idx="4">
                  <c:v>246162.09000000003</c:v>
                </c:pt>
                <c:pt idx="5">
                  <c:v>225341.97000000006</c:v>
                </c:pt>
                <c:pt idx="6">
                  <c:v>204109.64999999997</c:v>
                </c:pt>
                <c:pt idx="7">
                  <c:v>155095.1</c:v>
                </c:pt>
                <c:pt idx="8">
                  <c:v>219542.77000000002</c:v>
                </c:pt>
                <c:pt idx="9">
                  <c:v>204747.71999999991</c:v>
                </c:pt>
                <c:pt idx="10">
                  <c:v>226758.06999999992</c:v>
                </c:pt>
                <c:pt idx="11">
                  <c:v>275391.43999999994</c:v>
                </c:pt>
                <c:pt idx="12">
                  <c:v>273789.92000000004</c:v>
                </c:pt>
                <c:pt idx="13">
                  <c:v>161749.47999999998</c:v>
                </c:pt>
                <c:pt idx="14">
                  <c:v>199254.69000000003</c:v>
                </c:pt>
                <c:pt idx="15">
                  <c:v>225806.36999999997</c:v>
                </c:pt>
              </c:numCache>
            </c:numRef>
          </c:val>
          <c:extLst>
            <c:ext xmlns:c16="http://schemas.microsoft.com/office/drawing/2014/chart" uri="{C3380CC4-5D6E-409C-BE32-E72D297353CC}">
              <c16:uniqueId val="{00000000-FF6D-A44D-942C-C8BAC1ACE8CE}"/>
            </c:ext>
          </c:extLst>
        </c:ser>
        <c:dLbls>
          <c:showLegendKey val="0"/>
          <c:showVal val="0"/>
          <c:showCatName val="0"/>
          <c:showSerName val="0"/>
          <c:showPercent val="0"/>
          <c:showBubbleSize val="0"/>
        </c:dLbls>
        <c:gapWidth val="150"/>
        <c:overlap val="100"/>
        <c:axId val="1506980992"/>
        <c:axId val="1659439744"/>
      </c:barChart>
      <c:catAx>
        <c:axId val="15069809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9439744"/>
        <c:crosses val="autoZero"/>
        <c:auto val="1"/>
        <c:lblAlgn val="ctr"/>
        <c:lblOffset val="100"/>
        <c:noMultiLvlLbl val="0"/>
      </c:catAx>
      <c:valAx>
        <c:axId val="1659439744"/>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698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wise Sales Contribution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ANALYSIS!$B$73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090-054A-BD7C-10B02856DBC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090-054A-BD7C-10B02856DBC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090-054A-BD7C-10B02856DB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ANALYSIS!$A$74:$A$77</c:f>
              <c:strCache>
                <c:ptCount val="3"/>
                <c:pt idx="0">
                  <c:v>Furniture</c:v>
                </c:pt>
                <c:pt idx="1">
                  <c:v>Office Supplies</c:v>
                </c:pt>
                <c:pt idx="2">
                  <c:v>Technology</c:v>
                </c:pt>
              </c:strCache>
            </c:strRef>
          </c:cat>
          <c:val>
            <c:numRef>
              <c:f>ANALYSIS!$B$74:$B$77</c:f>
              <c:numCache>
                <c:formatCode>"₹"#,##0.00</c:formatCode>
                <c:ptCount val="3"/>
                <c:pt idx="0">
                  <c:v>1140966.9300000004</c:v>
                </c:pt>
                <c:pt idx="1">
                  <c:v>1166785.4600000002</c:v>
                </c:pt>
                <c:pt idx="2">
                  <c:v>1157702.67</c:v>
                </c:pt>
              </c:numCache>
            </c:numRef>
          </c:val>
          <c:extLst>
            <c:ext xmlns:c16="http://schemas.microsoft.com/office/drawing/2014/chart" uri="{C3380CC4-5D6E-409C-BE32-E72D297353CC}">
              <c16:uniqueId val="{00000000-FF8C-C14E-85F5-0F0BC162418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[AI_Assisted_Sales_Dashboard_Dataset_1000_Rows.xlsx]ANALYSIS!PivotTable4</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Category Wise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ANALYSIS!$B$80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768-9A40-B099-1FE5D81FEE1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768-9A40-B099-1FE5D81FEE1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768-9A40-B099-1FE5D81FEE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ANALYSIS!$A$81:$A$84</c:f>
              <c:strCache>
                <c:ptCount val="3"/>
                <c:pt idx="0">
                  <c:v>Furniture</c:v>
                </c:pt>
                <c:pt idx="1">
                  <c:v>Office Supplies</c:v>
                </c:pt>
                <c:pt idx="2">
                  <c:v>Technology</c:v>
                </c:pt>
              </c:strCache>
            </c:strRef>
          </c:cat>
          <c:val>
            <c:numRef>
              <c:f>ANALYSIS!$B$81:$B$84</c:f>
              <c:numCache>
                <c:formatCode>"₹"#,##0.00</c:formatCode>
                <c:ptCount val="3"/>
                <c:pt idx="0">
                  <c:v>121478.71000000005</c:v>
                </c:pt>
                <c:pt idx="1">
                  <c:v>119851.33000000006</c:v>
                </c:pt>
                <c:pt idx="2">
                  <c:v>118082.57</c:v>
                </c:pt>
              </c:numCache>
            </c:numRef>
          </c:val>
          <c:extLst>
            <c:ext xmlns:c16="http://schemas.microsoft.com/office/drawing/2014/chart" uri="{C3380CC4-5D6E-409C-BE32-E72D297353CC}">
              <c16:uniqueId val="{00000000-6134-2443-8567-65081CF7E51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[AI_Assisted_Sales_Dashboard_Dataset_1000_Rows.xlsx]ANALYSIS!PivotTable5</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Sub Category Wise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ANALYSIS!$A$88:$A$97</c:f>
              <c:strCache>
                <c:ptCount val="9"/>
                <c:pt idx="0">
                  <c:v>Accessories</c:v>
                </c:pt>
                <c:pt idx="1">
                  <c:v>Binders</c:v>
                </c:pt>
                <c:pt idx="2">
                  <c:v>Chairs</c:v>
                </c:pt>
                <c:pt idx="3">
                  <c:v>Computers</c:v>
                </c:pt>
                <c:pt idx="4">
                  <c:v>Paper</c:v>
                </c:pt>
                <c:pt idx="5">
                  <c:v>Phones</c:v>
                </c:pt>
                <c:pt idx="6">
                  <c:v>Storage</c:v>
                </c:pt>
                <c:pt idx="7">
                  <c:v>Tables</c:v>
                </c:pt>
                <c:pt idx="8">
                  <c:v>Writing</c:v>
                </c:pt>
              </c:strCache>
            </c:strRef>
          </c:cat>
          <c:val>
            <c:numRef>
              <c:f>ANALYSIS!$B$88:$B$97</c:f>
              <c:numCache>
                <c:formatCode>"₹"#,##0.00</c:formatCode>
                <c:ptCount val="9"/>
                <c:pt idx="0">
                  <c:v>25246.25</c:v>
                </c:pt>
                <c:pt idx="1">
                  <c:v>49325.99</c:v>
                </c:pt>
                <c:pt idx="2">
                  <c:v>46173.930000000015</c:v>
                </c:pt>
                <c:pt idx="3">
                  <c:v>39902.630000000005</c:v>
                </c:pt>
                <c:pt idx="4">
                  <c:v>33171.500000000007</c:v>
                </c:pt>
                <c:pt idx="5">
                  <c:v>52933.689999999995</c:v>
                </c:pt>
                <c:pt idx="6">
                  <c:v>41800.609999999993</c:v>
                </c:pt>
                <c:pt idx="7">
                  <c:v>33504.17</c:v>
                </c:pt>
                <c:pt idx="8">
                  <c:v>37353.839999999982</c:v>
                </c:pt>
              </c:numCache>
            </c:numRef>
          </c:val>
          <c:extLst>
            <c:ext xmlns:c16="http://schemas.microsoft.com/office/drawing/2014/chart" uri="{C3380CC4-5D6E-409C-BE32-E72D297353CC}">
              <c16:uniqueId val="{00000000-6948-3940-A356-AA5C65F9BF90}"/>
            </c:ext>
          </c:extLst>
        </c:ser>
        <c:dLbls>
          <c:showLegendKey val="0"/>
          <c:showVal val="0"/>
          <c:showCatName val="0"/>
          <c:showSerName val="0"/>
          <c:showPercent val="0"/>
          <c:showBubbleSize val="0"/>
        </c:dLbls>
        <c:gapWidth val="115"/>
        <c:overlap val="-20"/>
        <c:axId val="1591265920"/>
        <c:axId val="1591267264"/>
      </c:barChart>
      <c:catAx>
        <c:axId val="15912659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1267264"/>
        <c:crosses val="autoZero"/>
        <c:auto val="1"/>
        <c:lblAlgn val="ctr"/>
        <c:lblOffset val="100"/>
        <c:noMultiLvlLbl val="0"/>
      </c:catAx>
      <c:valAx>
        <c:axId val="1591267264"/>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126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Top 10 products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ANALYSIS!$B$100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ANALYSIS!$A$101:$A$111</c:f>
              <c:strCache>
                <c:ptCount val="10"/>
                <c:pt idx="0">
                  <c:v>A4 Paper</c:v>
                </c:pt>
                <c:pt idx="1">
                  <c:v>Conference Table</c:v>
                </c:pt>
                <c:pt idx="2">
                  <c:v>Document Case</c:v>
                </c:pt>
                <c:pt idx="3">
                  <c:v>File Folder</c:v>
                </c:pt>
                <c:pt idx="4">
                  <c:v>Gaming Chair</c:v>
                </c:pt>
                <c:pt idx="5">
                  <c:v>Headset</c:v>
                </c:pt>
                <c:pt idx="6">
                  <c:v>Keyboard</c:v>
                </c:pt>
                <c:pt idx="7">
                  <c:v>Mini PC</c:v>
                </c:pt>
                <c:pt idx="8">
                  <c:v>Office Chair</c:v>
                </c:pt>
                <c:pt idx="9">
                  <c:v>Smartphone</c:v>
                </c:pt>
              </c:strCache>
            </c:strRef>
          </c:cat>
          <c:val>
            <c:numRef>
              <c:f>ANALYSIS!$B$101:$B$111</c:f>
              <c:numCache>
                <c:formatCode>"₹"#,##0.00</c:formatCode>
                <c:ptCount val="10"/>
                <c:pt idx="0">
                  <c:v>137670.46999999997</c:v>
                </c:pt>
                <c:pt idx="1">
                  <c:v>213389.86000000004</c:v>
                </c:pt>
                <c:pt idx="2">
                  <c:v>133570.01</c:v>
                </c:pt>
                <c:pt idx="3">
                  <c:v>155448.88</c:v>
                </c:pt>
                <c:pt idx="4">
                  <c:v>138350.93</c:v>
                </c:pt>
                <c:pt idx="5">
                  <c:v>165051.09999999998</c:v>
                </c:pt>
                <c:pt idx="6">
                  <c:v>158867.86000000002</c:v>
                </c:pt>
                <c:pt idx="7">
                  <c:v>172205.51999999996</c:v>
                </c:pt>
                <c:pt idx="8">
                  <c:v>132379.78000000003</c:v>
                </c:pt>
                <c:pt idx="9">
                  <c:v>135858.04</c:v>
                </c:pt>
              </c:numCache>
            </c:numRef>
          </c:val>
          <c:extLst>
            <c:ext xmlns:c16="http://schemas.microsoft.com/office/drawing/2014/chart" uri="{C3380CC4-5D6E-409C-BE32-E72D297353CC}">
              <c16:uniqueId val="{00000000-8960-0740-8FDC-DDC5C2E62E6C}"/>
            </c:ext>
          </c:extLst>
        </c:ser>
        <c:dLbls>
          <c:showLegendKey val="0"/>
          <c:showVal val="0"/>
          <c:showCatName val="0"/>
          <c:showSerName val="0"/>
          <c:showPercent val="0"/>
          <c:showBubbleSize val="0"/>
        </c:dLbls>
        <c:gapWidth val="115"/>
        <c:overlap val="-20"/>
        <c:axId val="1590964928"/>
        <c:axId val="1590966720"/>
      </c:barChart>
      <c:catAx>
        <c:axId val="15909649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0966720"/>
        <c:crosses val="autoZero"/>
        <c:auto val="1"/>
        <c:lblAlgn val="ctr"/>
        <c:lblOffset val="100"/>
        <c:noMultiLvlLbl val="0"/>
      </c:catAx>
      <c:valAx>
        <c:axId val="1590966720"/>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096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SalesPerson</a:t>
            </a:r>
            <a:r>
              <a:rPr lang="en-GB" baseline="0"/>
              <a:t> Performance</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ANALYSIS!$B$114</c:f>
              <c:strCache>
                <c:ptCount val="1"/>
                <c:pt idx="0">
                  <c:v>Sum of 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ANALYSIS!$A$115:$A$125</c:f>
              <c:strCache>
                <c:ptCount val="10"/>
                <c:pt idx="0">
                  <c:v>Amit</c:v>
                </c:pt>
                <c:pt idx="1">
                  <c:v>Anjali</c:v>
                </c:pt>
                <c:pt idx="2">
                  <c:v>Karan</c:v>
                </c:pt>
                <c:pt idx="3">
                  <c:v>Neha</c:v>
                </c:pt>
                <c:pt idx="4">
                  <c:v>Pooja</c:v>
                </c:pt>
                <c:pt idx="5">
                  <c:v>Priya</c:v>
                </c:pt>
                <c:pt idx="6">
                  <c:v>Rahul</c:v>
                </c:pt>
                <c:pt idx="7">
                  <c:v>Rohit</c:v>
                </c:pt>
                <c:pt idx="8">
                  <c:v>Sneha</c:v>
                </c:pt>
                <c:pt idx="9">
                  <c:v>Vikram</c:v>
                </c:pt>
              </c:strCache>
            </c:strRef>
          </c:cat>
          <c:val>
            <c:numRef>
              <c:f>ANALYSIS!$B$115:$B$125</c:f>
              <c:numCache>
                <c:formatCode>"₹"#,##0.00</c:formatCode>
                <c:ptCount val="10"/>
                <c:pt idx="0">
                  <c:v>29171.149999999994</c:v>
                </c:pt>
                <c:pt idx="1">
                  <c:v>41843.689999999988</c:v>
                </c:pt>
                <c:pt idx="2">
                  <c:v>19780.25</c:v>
                </c:pt>
                <c:pt idx="3">
                  <c:v>30739.03</c:v>
                </c:pt>
                <c:pt idx="4">
                  <c:v>49074.539999999994</c:v>
                </c:pt>
                <c:pt idx="5">
                  <c:v>42934.02</c:v>
                </c:pt>
                <c:pt idx="6">
                  <c:v>41201.329999999973</c:v>
                </c:pt>
                <c:pt idx="7">
                  <c:v>40639.799999999996</c:v>
                </c:pt>
                <c:pt idx="8">
                  <c:v>38093.599999999999</c:v>
                </c:pt>
                <c:pt idx="9">
                  <c:v>25935.200000000001</c:v>
                </c:pt>
              </c:numCache>
            </c:numRef>
          </c:val>
          <c:extLst>
            <c:ext xmlns:c16="http://schemas.microsoft.com/office/drawing/2014/chart" uri="{C3380CC4-5D6E-409C-BE32-E72D297353CC}">
              <c16:uniqueId val="{00000000-0754-FB4E-A53A-21DD9D4DE7AB}"/>
            </c:ext>
          </c:extLst>
        </c:ser>
        <c:ser>
          <c:idx val="1"/>
          <c:order val="1"/>
          <c:tx>
            <c:strRef>
              <c:f>ANALYSIS!$C$114</c:f>
              <c:strCache>
                <c:ptCount val="1"/>
                <c:pt idx="0">
                  <c:v>Sum of Sales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ANALYSIS!$A$115:$A$125</c:f>
              <c:strCache>
                <c:ptCount val="10"/>
                <c:pt idx="0">
                  <c:v>Amit</c:v>
                </c:pt>
                <c:pt idx="1">
                  <c:v>Anjali</c:v>
                </c:pt>
                <c:pt idx="2">
                  <c:v>Karan</c:v>
                </c:pt>
                <c:pt idx="3">
                  <c:v>Neha</c:v>
                </c:pt>
                <c:pt idx="4">
                  <c:v>Pooja</c:v>
                </c:pt>
                <c:pt idx="5">
                  <c:v>Priya</c:v>
                </c:pt>
                <c:pt idx="6">
                  <c:v>Rahul</c:v>
                </c:pt>
                <c:pt idx="7">
                  <c:v>Rohit</c:v>
                </c:pt>
                <c:pt idx="8">
                  <c:v>Sneha</c:v>
                </c:pt>
                <c:pt idx="9">
                  <c:v>Vikram</c:v>
                </c:pt>
              </c:strCache>
            </c:strRef>
          </c:cat>
          <c:val>
            <c:numRef>
              <c:f>ANALYSIS!$C$115:$C$125</c:f>
              <c:numCache>
                <c:formatCode>"₹"#,##0.00</c:formatCode>
                <c:ptCount val="10"/>
                <c:pt idx="0">
                  <c:v>350695.37999999989</c:v>
                </c:pt>
                <c:pt idx="1">
                  <c:v>341609.5799999999</c:v>
                </c:pt>
                <c:pt idx="2">
                  <c:v>311338.44</c:v>
                </c:pt>
                <c:pt idx="3">
                  <c:v>279640.78999999998</c:v>
                </c:pt>
                <c:pt idx="4">
                  <c:v>405495.69000000006</c:v>
                </c:pt>
                <c:pt idx="5">
                  <c:v>351157.02</c:v>
                </c:pt>
                <c:pt idx="6">
                  <c:v>374029.37000000005</c:v>
                </c:pt>
                <c:pt idx="7">
                  <c:v>395387.20999999996</c:v>
                </c:pt>
                <c:pt idx="8">
                  <c:v>321778.47000000015</c:v>
                </c:pt>
                <c:pt idx="9">
                  <c:v>334323.11000000004</c:v>
                </c:pt>
              </c:numCache>
            </c:numRef>
          </c:val>
          <c:extLst>
            <c:ext xmlns:c16="http://schemas.microsoft.com/office/drawing/2014/chart" uri="{C3380CC4-5D6E-409C-BE32-E72D297353CC}">
              <c16:uniqueId val="{00000001-0754-FB4E-A53A-21DD9D4DE7AB}"/>
            </c:ext>
          </c:extLst>
        </c:ser>
        <c:ser>
          <c:idx val="2"/>
          <c:order val="2"/>
          <c:tx>
            <c:strRef>
              <c:f>ANALYSIS!$D$114</c:f>
              <c:strCache>
                <c:ptCount val="1"/>
                <c:pt idx="0">
                  <c:v>Average of Profit Margin %</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ANALYSIS!$A$115:$A$125</c:f>
              <c:strCache>
                <c:ptCount val="10"/>
                <c:pt idx="0">
                  <c:v>Amit</c:v>
                </c:pt>
                <c:pt idx="1">
                  <c:v>Anjali</c:v>
                </c:pt>
                <c:pt idx="2">
                  <c:v>Karan</c:v>
                </c:pt>
                <c:pt idx="3">
                  <c:v>Neha</c:v>
                </c:pt>
                <c:pt idx="4">
                  <c:v>Pooja</c:v>
                </c:pt>
                <c:pt idx="5">
                  <c:v>Priya</c:v>
                </c:pt>
                <c:pt idx="6">
                  <c:v>Rahul</c:v>
                </c:pt>
                <c:pt idx="7">
                  <c:v>Rohit</c:v>
                </c:pt>
                <c:pt idx="8">
                  <c:v>Sneha</c:v>
                </c:pt>
                <c:pt idx="9">
                  <c:v>Vikram</c:v>
                </c:pt>
              </c:strCache>
            </c:strRef>
          </c:cat>
          <c:val>
            <c:numRef>
              <c:f>ANALYSIS!$D$115:$D$125</c:f>
              <c:numCache>
                <c:formatCode>0%</c:formatCode>
                <c:ptCount val="10"/>
                <c:pt idx="0">
                  <c:v>8.2172176020338134E-2</c:v>
                </c:pt>
                <c:pt idx="1">
                  <c:v>0.11457281943573722</c:v>
                </c:pt>
                <c:pt idx="2">
                  <c:v>8.6748318609130168E-2</c:v>
                </c:pt>
                <c:pt idx="3">
                  <c:v>0.1078559076071588</c:v>
                </c:pt>
                <c:pt idx="4">
                  <c:v>0.1158356447020254</c:v>
                </c:pt>
                <c:pt idx="5">
                  <c:v>0.11142088085511498</c:v>
                </c:pt>
                <c:pt idx="6">
                  <c:v>0.12279224424136469</c:v>
                </c:pt>
                <c:pt idx="7">
                  <c:v>9.9902341754912513E-2</c:v>
                </c:pt>
                <c:pt idx="8">
                  <c:v>0.11635302877962329</c:v>
                </c:pt>
                <c:pt idx="9">
                  <c:v>9.124174530745717E-2</c:v>
                </c:pt>
              </c:numCache>
            </c:numRef>
          </c:val>
          <c:extLst>
            <c:ext xmlns:c16="http://schemas.microsoft.com/office/drawing/2014/chart" uri="{C3380CC4-5D6E-409C-BE32-E72D297353CC}">
              <c16:uniqueId val="{00000002-0754-FB4E-A53A-21DD9D4DE7AB}"/>
            </c:ext>
          </c:extLst>
        </c:ser>
        <c:dLbls>
          <c:showLegendKey val="0"/>
          <c:showVal val="1"/>
          <c:showCatName val="0"/>
          <c:showSerName val="0"/>
          <c:showPercent val="0"/>
          <c:showBubbleSize val="0"/>
        </c:dLbls>
        <c:gapWidth val="150"/>
        <c:overlap val="-25"/>
        <c:axId val="1584685376"/>
        <c:axId val="1586094848"/>
      </c:barChart>
      <c:catAx>
        <c:axId val="1584685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6094848"/>
        <c:crosses val="autoZero"/>
        <c:auto val="1"/>
        <c:lblAlgn val="ctr"/>
        <c:lblOffset val="100"/>
        <c:noMultiLvlLbl val="0"/>
      </c:catAx>
      <c:valAx>
        <c:axId val="1586094848"/>
        <c:scaling>
          <c:orientation val="minMax"/>
        </c:scaling>
        <c:delete val="1"/>
        <c:axPos val="l"/>
        <c:numFmt formatCode="&quot;₹&quot;#,##0.00" sourceLinked="1"/>
        <c:majorTickMark val="none"/>
        <c:minorTickMark val="none"/>
        <c:tickLblPos val="nextTo"/>
        <c:crossAx val="15846853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Segment</a:t>
            </a:r>
            <a:r>
              <a:rPr lang="en-GB" baseline="0"/>
              <a:t> Wise Sales and Profit</a:t>
            </a:r>
            <a:r>
              <a:rPr lang="en-GB"/>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ANALYSIS!$B$128</c:f>
              <c:strCache>
                <c:ptCount val="1"/>
                <c:pt idx="0">
                  <c:v>Sum of 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ANALYSIS!$A$129:$A$133</c:f>
              <c:strCache>
                <c:ptCount val="4"/>
                <c:pt idx="0">
                  <c:v>Consumer</c:v>
                </c:pt>
                <c:pt idx="1">
                  <c:v>Corporate</c:v>
                </c:pt>
                <c:pt idx="2">
                  <c:v>Home Office</c:v>
                </c:pt>
                <c:pt idx="3">
                  <c:v>Small Business</c:v>
                </c:pt>
              </c:strCache>
            </c:strRef>
          </c:cat>
          <c:val>
            <c:numRef>
              <c:f>ANALYSIS!$B$129:$B$133</c:f>
              <c:numCache>
                <c:formatCode>"₹"#,##0.00</c:formatCode>
                <c:ptCount val="4"/>
                <c:pt idx="0">
                  <c:v>90641.600000000035</c:v>
                </c:pt>
                <c:pt idx="1">
                  <c:v>98211.749999999927</c:v>
                </c:pt>
                <c:pt idx="2">
                  <c:v>98224.429999999964</c:v>
                </c:pt>
                <c:pt idx="3">
                  <c:v>72334.829999999914</c:v>
                </c:pt>
              </c:numCache>
            </c:numRef>
          </c:val>
          <c:extLst>
            <c:ext xmlns:c16="http://schemas.microsoft.com/office/drawing/2014/chart" uri="{C3380CC4-5D6E-409C-BE32-E72D297353CC}">
              <c16:uniqueId val="{00000000-41DA-1F49-B930-D76F9C054363}"/>
            </c:ext>
          </c:extLst>
        </c:ser>
        <c:ser>
          <c:idx val="1"/>
          <c:order val="1"/>
          <c:tx>
            <c:strRef>
              <c:f>ANALYSIS!$C$128</c:f>
              <c:strCache>
                <c:ptCount val="1"/>
                <c:pt idx="0">
                  <c:v>Sum of Sales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ANALYSIS!$A$129:$A$133</c:f>
              <c:strCache>
                <c:ptCount val="4"/>
                <c:pt idx="0">
                  <c:v>Consumer</c:v>
                </c:pt>
                <c:pt idx="1">
                  <c:v>Corporate</c:v>
                </c:pt>
                <c:pt idx="2">
                  <c:v>Home Office</c:v>
                </c:pt>
                <c:pt idx="3">
                  <c:v>Small Business</c:v>
                </c:pt>
              </c:strCache>
            </c:strRef>
          </c:cat>
          <c:val>
            <c:numRef>
              <c:f>ANALYSIS!$C$129:$C$133</c:f>
              <c:numCache>
                <c:formatCode>"₹"#,##0.00</c:formatCode>
                <c:ptCount val="4"/>
                <c:pt idx="0">
                  <c:v>917791.49999999953</c:v>
                </c:pt>
                <c:pt idx="1">
                  <c:v>841316.08999999985</c:v>
                </c:pt>
                <c:pt idx="2">
                  <c:v>893221.53</c:v>
                </c:pt>
                <c:pt idx="3">
                  <c:v>813125.93999999971</c:v>
                </c:pt>
              </c:numCache>
            </c:numRef>
          </c:val>
          <c:extLst>
            <c:ext xmlns:c16="http://schemas.microsoft.com/office/drawing/2014/chart" uri="{C3380CC4-5D6E-409C-BE32-E72D297353CC}">
              <c16:uniqueId val="{00000001-41DA-1F49-B930-D76F9C054363}"/>
            </c:ext>
          </c:extLst>
        </c:ser>
        <c:dLbls>
          <c:showLegendKey val="0"/>
          <c:showVal val="0"/>
          <c:showCatName val="0"/>
          <c:showSerName val="0"/>
          <c:showPercent val="0"/>
          <c:showBubbleSize val="0"/>
        </c:dLbls>
        <c:gapWidth val="150"/>
        <c:axId val="1590602688"/>
        <c:axId val="1590597760"/>
      </c:barChart>
      <c:catAx>
        <c:axId val="15906026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0597760"/>
        <c:crosses val="autoZero"/>
        <c:auto val="1"/>
        <c:lblAlgn val="ctr"/>
        <c:lblOffset val="100"/>
        <c:noMultiLvlLbl val="0"/>
      </c:catAx>
      <c:valAx>
        <c:axId val="159059776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060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Discount Bucket vs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ANALYSIS!$B$136</c:f>
              <c:strCache>
                <c:ptCount val="1"/>
                <c:pt idx="0">
                  <c:v>Sum of 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ANALYSIS!$A$137:$A$141</c:f>
              <c:strCache>
                <c:ptCount val="4"/>
                <c:pt idx="0">
                  <c:v>High (21-30%)</c:v>
                </c:pt>
                <c:pt idx="1">
                  <c:v>Low (1-10%)</c:v>
                </c:pt>
                <c:pt idx="2">
                  <c:v>Medium (11-20%)</c:v>
                </c:pt>
                <c:pt idx="3">
                  <c:v>No Discount</c:v>
                </c:pt>
              </c:strCache>
            </c:strRef>
          </c:cat>
          <c:val>
            <c:numRef>
              <c:f>ANALYSIS!$B$137:$B$141</c:f>
              <c:numCache>
                <c:formatCode>"₹"#,##0.00</c:formatCode>
                <c:ptCount val="4"/>
                <c:pt idx="0">
                  <c:v>-28992.349999999962</c:v>
                </c:pt>
                <c:pt idx="1">
                  <c:v>183543.58999999994</c:v>
                </c:pt>
                <c:pt idx="2">
                  <c:v>78936.389999999912</c:v>
                </c:pt>
                <c:pt idx="3">
                  <c:v>125924.98000000003</c:v>
                </c:pt>
              </c:numCache>
            </c:numRef>
          </c:val>
          <c:extLst>
            <c:ext xmlns:c16="http://schemas.microsoft.com/office/drawing/2014/chart" uri="{C3380CC4-5D6E-409C-BE32-E72D297353CC}">
              <c16:uniqueId val="{00000000-C817-8C4B-B839-9F8F80E78502}"/>
            </c:ext>
          </c:extLst>
        </c:ser>
        <c:dLbls>
          <c:showLegendKey val="0"/>
          <c:showVal val="0"/>
          <c:showCatName val="0"/>
          <c:showSerName val="0"/>
          <c:showPercent val="0"/>
          <c:showBubbleSize val="0"/>
        </c:dLbls>
        <c:gapWidth val="150"/>
        <c:axId val="1582816704"/>
        <c:axId val="1590281088"/>
      </c:barChart>
      <c:lineChart>
        <c:grouping val="standard"/>
        <c:varyColors val="0"/>
        <c:ser>
          <c:idx val="1"/>
          <c:order val="1"/>
          <c:tx>
            <c:strRef>
              <c:f>ANALYSIS!$C$136</c:f>
              <c:strCache>
                <c:ptCount val="1"/>
                <c:pt idx="0">
                  <c:v>Average of Profit Margin %</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strRef>
              <c:f>ANALYSIS!$A$137:$A$141</c:f>
              <c:strCache>
                <c:ptCount val="4"/>
                <c:pt idx="0">
                  <c:v>High (21-30%)</c:v>
                </c:pt>
                <c:pt idx="1">
                  <c:v>Low (1-10%)</c:v>
                </c:pt>
                <c:pt idx="2">
                  <c:v>Medium (11-20%)</c:v>
                </c:pt>
                <c:pt idx="3">
                  <c:v>No Discount</c:v>
                </c:pt>
              </c:strCache>
            </c:strRef>
          </c:cat>
          <c:val>
            <c:numRef>
              <c:f>ANALYSIS!$C$137:$C$141</c:f>
              <c:numCache>
                <c:formatCode>0%</c:formatCode>
                <c:ptCount val="4"/>
                <c:pt idx="0">
                  <c:v>-2.6924958044280356E-2</c:v>
                </c:pt>
                <c:pt idx="1">
                  <c:v>0.18064966339974686</c:v>
                </c:pt>
                <c:pt idx="2">
                  <c:v>7.6577322704836331E-2</c:v>
                </c:pt>
                <c:pt idx="3">
                  <c:v>0.25804514911638204</c:v>
                </c:pt>
              </c:numCache>
            </c:numRef>
          </c:val>
          <c:smooth val="0"/>
          <c:extLst>
            <c:ext xmlns:c16="http://schemas.microsoft.com/office/drawing/2014/chart" uri="{C3380CC4-5D6E-409C-BE32-E72D297353CC}">
              <c16:uniqueId val="{00000001-C817-8C4B-B839-9F8F80E78502}"/>
            </c:ext>
          </c:extLst>
        </c:ser>
        <c:dLbls>
          <c:showLegendKey val="0"/>
          <c:showVal val="0"/>
          <c:showCatName val="0"/>
          <c:showSerName val="0"/>
          <c:showPercent val="0"/>
          <c:showBubbleSize val="0"/>
        </c:dLbls>
        <c:marker val="1"/>
        <c:smooth val="0"/>
        <c:axId val="1582816704"/>
        <c:axId val="1590281088"/>
      </c:lineChart>
      <c:catAx>
        <c:axId val="15828167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0281088"/>
        <c:crosses val="autoZero"/>
        <c:auto val="1"/>
        <c:lblAlgn val="ctr"/>
        <c:lblOffset val="100"/>
        <c:noMultiLvlLbl val="0"/>
      </c:catAx>
      <c:valAx>
        <c:axId val="159028108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281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Discount % vs Profit </a:t>
            </a:r>
            <a:endParaRPr lang="en-GB"/>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GB"/>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SalesData!$K$2:$K$1001</c:f>
              <c:numCache>
                <c:formatCode>0%</c:formatCode>
                <c:ptCount val="1000"/>
                <c:pt idx="0">
                  <c:v>0</c:v>
                </c:pt>
                <c:pt idx="1">
                  <c:v>0.25</c:v>
                </c:pt>
                <c:pt idx="2">
                  <c:v>0</c:v>
                </c:pt>
                <c:pt idx="3">
                  <c:v>0.3</c:v>
                </c:pt>
                <c:pt idx="4">
                  <c:v>0.1</c:v>
                </c:pt>
                <c:pt idx="5">
                  <c:v>0</c:v>
                </c:pt>
                <c:pt idx="6">
                  <c:v>0.2</c:v>
                </c:pt>
                <c:pt idx="7">
                  <c:v>0.25</c:v>
                </c:pt>
                <c:pt idx="8">
                  <c:v>0.3</c:v>
                </c:pt>
                <c:pt idx="9">
                  <c:v>0.15</c:v>
                </c:pt>
                <c:pt idx="10">
                  <c:v>0.15</c:v>
                </c:pt>
                <c:pt idx="11">
                  <c:v>0.15</c:v>
                </c:pt>
                <c:pt idx="12">
                  <c:v>0.05</c:v>
                </c:pt>
                <c:pt idx="13">
                  <c:v>0.3</c:v>
                </c:pt>
                <c:pt idx="14">
                  <c:v>0</c:v>
                </c:pt>
                <c:pt idx="15">
                  <c:v>0.3</c:v>
                </c:pt>
                <c:pt idx="16">
                  <c:v>0.3</c:v>
                </c:pt>
                <c:pt idx="17">
                  <c:v>0.2</c:v>
                </c:pt>
                <c:pt idx="18">
                  <c:v>0.1</c:v>
                </c:pt>
                <c:pt idx="19">
                  <c:v>0.3</c:v>
                </c:pt>
                <c:pt idx="20">
                  <c:v>0.2</c:v>
                </c:pt>
                <c:pt idx="21">
                  <c:v>0.3</c:v>
                </c:pt>
                <c:pt idx="22">
                  <c:v>0.25</c:v>
                </c:pt>
                <c:pt idx="23">
                  <c:v>0</c:v>
                </c:pt>
                <c:pt idx="24">
                  <c:v>0.15</c:v>
                </c:pt>
                <c:pt idx="25">
                  <c:v>0.05</c:v>
                </c:pt>
                <c:pt idx="26">
                  <c:v>0.3</c:v>
                </c:pt>
                <c:pt idx="27">
                  <c:v>0.05</c:v>
                </c:pt>
                <c:pt idx="28">
                  <c:v>0.05</c:v>
                </c:pt>
                <c:pt idx="29">
                  <c:v>0.3</c:v>
                </c:pt>
                <c:pt idx="30">
                  <c:v>0.3</c:v>
                </c:pt>
                <c:pt idx="31">
                  <c:v>0.2</c:v>
                </c:pt>
                <c:pt idx="32">
                  <c:v>0.05</c:v>
                </c:pt>
                <c:pt idx="33">
                  <c:v>0</c:v>
                </c:pt>
                <c:pt idx="34">
                  <c:v>0</c:v>
                </c:pt>
                <c:pt idx="35">
                  <c:v>0.25</c:v>
                </c:pt>
                <c:pt idx="36">
                  <c:v>0.05</c:v>
                </c:pt>
                <c:pt idx="37">
                  <c:v>0.2</c:v>
                </c:pt>
                <c:pt idx="38">
                  <c:v>0.25</c:v>
                </c:pt>
                <c:pt idx="39">
                  <c:v>0</c:v>
                </c:pt>
                <c:pt idx="40">
                  <c:v>0.3</c:v>
                </c:pt>
                <c:pt idx="41">
                  <c:v>0</c:v>
                </c:pt>
                <c:pt idx="42">
                  <c:v>0.15</c:v>
                </c:pt>
                <c:pt idx="43">
                  <c:v>0.25</c:v>
                </c:pt>
                <c:pt idx="44">
                  <c:v>0</c:v>
                </c:pt>
                <c:pt idx="45">
                  <c:v>0.3</c:v>
                </c:pt>
                <c:pt idx="46">
                  <c:v>0.1</c:v>
                </c:pt>
                <c:pt idx="47">
                  <c:v>0</c:v>
                </c:pt>
                <c:pt idx="48">
                  <c:v>0.15</c:v>
                </c:pt>
                <c:pt idx="49">
                  <c:v>0.15</c:v>
                </c:pt>
                <c:pt idx="50">
                  <c:v>0.25</c:v>
                </c:pt>
                <c:pt idx="51">
                  <c:v>0.25</c:v>
                </c:pt>
                <c:pt idx="52">
                  <c:v>0.2</c:v>
                </c:pt>
                <c:pt idx="53">
                  <c:v>0.15</c:v>
                </c:pt>
                <c:pt idx="54">
                  <c:v>0.1</c:v>
                </c:pt>
                <c:pt idx="55">
                  <c:v>0.1</c:v>
                </c:pt>
                <c:pt idx="56">
                  <c:v>0.2</c:v>
                </c:pt>
                <c:pt idx="57">
                  <c:v>0.15</c:v>
                </c:pt>
                <c:pt idx="58">
                  <c:v>0</c:v>
                </c:pt>
                <c:pt idx="59">
                  <c:v>0</c:v>
                </c:pt>
                <c:pt idx="60">
                  <c:v>0.25</c:v>
                </c:pt>
                <c:pt idx="61">
                  <c:v>0.05</c:v>
                </c:pt>
                <c:pt idx="62">
                  <c:v>0.25</c:v>
                </c:pt>
                <c:pt idx="63">
                  <c:v>0.05</c:v>
                </c:pt>
                <c:pt idx="64">
                  <c:v>0.05</c:v>
                </c:pt>
                <c:pt idx="65">
                  <c:v>0</c:v>
                </c:pt>
                <c:pt idx="66">
                  <c:v>0.1</c:v>
                </c:pt>
                <c:pt idx="67">
                  <c:v>0</c:v>
                </c:pt>
                <c:pt idx="68">
                  <c:v>0.3</c:v>
                </c:pt>
                <c:pt idx="69">
                  <c:v>0.15</c:v>
                </c:pt>
                <c:pt idx="70">
                  <c:v>0.05</c:v>
                </c:pt>
                <c:pt idx="71">
                  <c:v>0</c:v>
                </c:pt>
                <c:pt idx="72">
                  <c:v>0.25</c:v>
                </c:pt>
                <c:pt idx="73">
                  <c:v>0</c:v>
                </c:pt>
                <c:pt idx="74">
                  <c:v>0.2</c:v>
                </c:pt>
                <c:pt idx="75">
                  <c:v>0.3</c:v>
                </c:pt>
                <c:pt idx="76">
                  <c:v>0.25</c:v>
                </c:pt>
                <c:pt idx="77">
                  <c:v>0.2</c:v>
                </c:pt>
                <c:pt idx="78">
                  <c:v>0.05</c:v>
                </c:pt>
                <c:pt idx="79">
                  <c:v>0</c:v>
                </c:pt>
                <c:pt idx="80">
                  <c:v>0.2</c:v>
                </c:pt>
                <c:pt idx="81">
                  <c:v>0.05</c:v>
                </c:pt>
                <c:pt idx="82">
                  <c:v>0.1</c:v>
                </c:pt>
                <c:pt idx="83">
                  <c:v>0.05</c:v>
                </c:pt>
                <c:pt idx="84">
                  <c:v>0.3</c:v>
                </c:pt>
                <c:pt idx="85">
                  <c:v>0.3</c:v>
                </c:pt>
                <c:pt idx="86">
                  <c:v>0.2</c:v>
                </c:pt>
                <c:pt idx="87">
                  <c:v>0.1</c:v>
                </c:pt>
                <c:pt idx="88">
                  <c:v>0.15</c:v>
                </c:pt>
                <c:pt idx="89">
                  <c:v>0</c:v>
                </c:pt>
                <c:pt idx="90">
                  <c:v>0.2</c:v>
                </c:pt>
                <c:pt idx="91">
                  <c:v>0.1</c:v>
                </c:pt>
                <c:pt idx="92">
                  <c:v>0.2</c:v>
                </c:pt>
                <c:pt idx="93">
                  <c:v>0.25</c:v>
                </c:pt>
                <c:pt idx="94">
                  <c:v>0.3</c:v>
                </c:pt>
                <c:pt idx="95">
                  <c:v>0.3</c:v>
                </c:pt>
                <c:pt idx="96">
                  <c:v>0.15</c:v>
                </c:pt>
                <c:pt idx="97">
                  <c:v>0.15</c:v>
                </c:pt>
                <c:pt idx="98">
                  <c:v>0.2</c:v>
                </c:pt>
                <c:pt idx="99">
                  <c:v>0.05</c:v>
                </c:pt>
                <c:pt idx="100">
                  <c:v>0</c:v>
                </c:pt>
                <c:pt idx="101">
                  <c:v>0.25</c:v>
                </c:pt>
                <c:pt idx="102">
                  <c:v>0.05</c:v>
                </c:pt>
                <c:pt idx="103">
                  <c:v>0.1</c:v>
                </c:pt>
                <c:pt idx="104">
                  <c:v>0.25</c:v>
                </c:pt>
                <c:pt idx="105">
                  <c:v>0.15</c:v>
                </c:pt>
                <c:pt idx="106">
                  <c:v>0.3</c:v>
                </c:pt>
                <c:pt idx="107">
                  <c:v>0</c:v>
                </c:pt>
                <c:pt idx="108">
                  <c:v>0.3</c:v>
                </c:pt>
                <c:pt idx="109">
                  <c:v>0.2</c:v>
                </c:pt>
                <c:pt idx="110">
                  <c:v>0.05</c:v>
                </c:pt>
                <c:pt idx="111">
                  <c:v>0.15</c:v>
                </c:pt>
                <c:pt idx="112">
                  <c:v>0.15</c:v>
                </c:pt>
                <c:pt idx="113">
                  <c:v>0.2</c:v>
                </c:pt>
                <c:pt idx="114">
                  <c:v>0</c:v>
                </c:pt>
                <c:pt idx="115">
                  <c:v>0.2</c:v>
                </c:pt>
                <c:pt idx="116">
                  <c:v>0.15</c:v>
                </c:pt>
                <c:pt idx="117">
                  <c:v>0.3</c:v>
                </c:pt>
                <c:pt idx="118">
                  <c:v>0</c:v>
                </c:pt>
                <c:pt idx="119">
                  <c:v>0.25</c:v>
                </c:pt>
                <c:pt idx="120">
                  <c:v>0.15</c:v>
                </c:pt>
                <c:pt idx="121">
                  <c:v>0.1</c:v>
                </c:pt>
                <c:pt idx="122">
                  <c:v>0.1</c:v>
                </c:pt>
                <c:pt idx="123">
                  <c:v>0</c:v>
                </c:pt>
                <c:pt idx="124">
                  <c:v>0.15</c:v>
                </c:pt>
                <c:pt idx="125">
                  <c:v>0.1</c:v>
                </c:pt>
                <c:pt idx="126">
                  <c:v>0.15</c:v>
                </c:pt>
                <c:pt idx="127">
                  <c:v>0.25</c:v>
                </c:pt>
                <c:pt idx="128">
                  <c:v>0.15</c:v>
                </c:pt>
                <c:pt idx="129">
                  <c:v>0.25</c:v>
                </c:pt>
                <c:pt idx="130">
                  <c:v>0.3</c:v>
                </c:pt>
                <c:pt idx="131">
                  <c:v>0.1</c:v>
                </c:pt>
                <c:pt idx="132">
                  <c:v>0.1</c:v>
                </c:pt>
                <c:pt idx="133">
                  <c:v>0.2</c:v>
                </c:pt>
                <c:pt idx="134">
                  <c:v>0.15</c:v>
                </c:pt>
                <c:pt idx="135">
                  <c:v>0</c:v>
                </c:pt>
                <c:pt idx="136">
                  <c:v>0.15</c:v>
                </c:pt>
                <c:pt idx="137">
                  <c:v>0.2</c:v>
                </c:pt>
                <c:pt idx="138">
                  <c:v>0.1</c:v>
                </c:pt>
                <c:pt idx="139">
                  <c:v>0.1</c:v>
                </c:pt>
                <c:pt idx="140">
                  <c:v>0</c:v>
                </c:pt>
                <c:pt idx="141">
                  <c:v>0.1</c:v>
                </c:pt>
                <c:pt idx="142">
                  <c:v>0.2</c:v>
                </c:pt>
                <c:pt idx="143">
                  <c:v>0.1</c:v>
                </c:pt>
                <c:pt idx="144">
                  <c:v>0</c:v>
                </c:pt>
                <c:pt idx="145">
                  <c:v>0</c:v>
                </c:pt>
                <c:pt idx="146">
                  <c:v>0.2</c:v>
                </c:pt>
                <c:pt idx="147">
                  <c:v>0.2</c:v>
                </c:pt>
                <c:pt idx="148">
                  <c:v>0.3</c:v>
                </c:pt>
                <c:pt idx="149">
                  <c:v>0.3</c:v>
                </c:pt>
                <c:pt idx="150">
                  <c:v>0.2</c:v>
                </c:pt>
                <c:pt idx="151">
                  <c:v>0</c:v>
                </c:pt>
                <c:pt idx="152">
                  <c:v>0</c:v>
                </c:pt>
                <c:pt idx="153">
                  <c:v>0.05</c:v>
                </c:pt>
                <c:pt idx="154">
                  <c:v>0.15</c:v>
                </c:pt>
                <c:pt idx="155">
                  <c:v>0.15</c:v>
                </c:pt>
                <c:pt idx="156">
                  <c:v>0.25</c:v>
                </c:pt>
                <c:pt idx="157">
                  <c:v>0</c:v>
                </c:pt>
                <c:pt idx="158">
                  <c:v>0.1</c:v>
                </c:pt>
                <c:pt idx="159">
                  <c:v>0.05</c:v>
                </c:pt>
                <c:pt idx="160">
                  <c:v>0.1</c:v>
                </c:pt>
                <c:pt idx="161">
                  <c:v>0.15</c:v>
                </c:pt>
                <c:pt idx="162">
                  <c:v>0.05</c:v>
                </c:pt>
                <c:pt idx="163">
                  <c:v>0.05</c:v>
                </c:pt>
                <c:pt idx="164">
                  <c:v>0</c:v>
                </c:pt>
                <c:pt idx="165">
                  <c:v>0.3</c:v>
                </c:pt>
                <c:pt idx="166">
                  <c:v>0.15</c:v>
                </c:pt>
                <c:pt idx="167">
                  <c:v>0.1</c:v>
                </c:pt>
                <c:pt idx="168">
                  <c:v>0</c:v>
                </c:pt>
                <c:pt idx="169">
                  <c:v>0.2</c:v>
                </c:pt>
                <c:pt idx="170">
                  <c:v>0.3</c:v>
                </c:pt>
                <c:pt idx="171">
                  <c:v>0.1</c:v>
                </c:pt>
                <c:pt idx="172">
                  <c:v>0.2</c:v>
                </c:pt>
                <c:pt idx="173">
                  <c:v>0</c:v>
                </c:pt>
                <c:pt idx="174">
                  <c:v>0.15</c:v>
                </c:pt>
                <c:pt idx="175">
                  <c:v>0.3</c:v>
                </c:pt>
                <c:pt idx="176">
                  <c:v>0.25</c:v>
                </c:pt>
                <c:pt idx="177">
                  <c:v>0.3</c:v>
                </c:pt>
                <c:pt idx="178">
                  <c:v>0</c:v>
                </c:pt>
                <c:pt idx="179">
                  <c:v>0.25</c:v>
                </c:pt>
                <c:pt idx="180">
                  <c:v>0.15</c:v>
                </c:pt>
                <c:pt idx="181">
                  <c:v>0.25</c:v>
                </c:pt>
                <c:pt idx="182">
                  <c:v>0.05</c:v>
                </c:pt>
                <c:pt idx="183">
                  <c:v>0.3</c:v>
                </c:pt>
                <c:pt idx="184">
                  <c:v>0.25</c:v>
                </c:pt>
                <c:pt idx="185">
                  <c:v>0.3</c:v>
                </c:pt>
                <c:pt idx="186">
                  <c:v>0.25</c:v>
                </c:pt>
                <c:pt idx="187">
                  <c:v>0.2</c:v>
                </c:pt>
                <c:pt idx="188">
                  <c:v>0.05</c:v>
                </c:pt>
                <c:pt idx="189">
                  <c:v>0.3</c:v>
                </c:pt>
                <c:pt idx="190">
                  <c:v>0.1</c:v>
                </c:pt>
                <c:pt idx="191">
                  <c:v>0.05</c:v>
                </c:pt>
                <c:pt idx="192">
                  <c:v>0</c:v>
                </c:pt>
                <c:pt idx="193">
                  <c:v>0.05</c:v>
                </c:pt>
                <c:pt idx="194">
                  <c:v>0.05</c:v>
                </c:pt>
                <c:pt idx="195">
                  <c:v>0.15</c:v>
                </c:pt>
                <c:pt idx="196">
                  <c:v>0.3</c:v>
                </c:pt>
                <c:pt idx="197">
                  <c:v>0.15</c:v>
                </c:pt>
                <c:pt idx="198">
                  <c:v>0.25</c:v>
                </c:pt>
                <c:pt idx="199">
                  <c:v>0.1</c:v>
                </c:pt>
                <c:pt idx="200">
                  <c:v>0.2</c:v>
                </c:pt>
                <c:pt idx="201">
                  <c:v>0</c:v>
                </c:pt>
                <c:pt idx="202">
                  <c:v>0.15</c:v>
                </c:pt>
                <c:pt idx="203">
                  <c:v>0.25</c:v>
                </c:pt>
                <c:pt idx="204">
                  <c:v>0.25</c:v>
                </c:pt>
                <c:pt idx="205">
                  <c:v>0.15</c:v>
                </c:pt>
                <c:pt idx="206">
                  <c:v>0.2</c:v>
                </c:pt>
                <c:pt idx="207">
                  <c:v>0.3</c:v>
                </c:pt>
                <c:pt idx="208">
                  <c:v>0</c:v>
                </c:pt>
                <c:pt idx="209">
                  <c:v>0.15</c:v>
                </c:pt>
                <c:pt idx="210">
                  <c:v>0</c:v>
                </c:pt>
                <c:pt idx="211">
                  <c:v>0</c:v>
                </c:pt>
                <c:pt idx="212">
                  <c:v>0.15</c:v>
                </c:pt>
                <c:pt idx="213">
                  <c:v>0.05</c:v>
                </c:pt>
                <c:pt idx="214">
                  <c:v>0.15</c:v>
                </c:pt>
                <c:pt idx="215">
                  <c:v>0.25</c:v>
                </c:pt>
                <c:pt idx="216">
                  <c:v>0.25</c:v>
                </c:pt>
                <c:pt idx="217">
                  <c:v>0.3</c:v>
                </c:pt>
                <c:pt idx="218">
                  <c:v>0</c:v>
                </c:pt>
                <c:pt idx="219">
                  <c:v>0</c:v>
                </c:pt>
                <c:pt idx="220">
                  <c:v>0</c:v>
                </c:pt>
                <c:pt idx="221">
                  <c:v>0.3</c:v>
                </c:pt>
                <c:pt idx="222">
                  <c:v>0.05</c:v>
                </c:pt>
                <c:pt idx="223">
                  <c:v>0.25</c:v>
                </c:pt>
                <c:pt idx="224">
                  <c:v>0</c:v>
                </c:pt>
                <c:pt idx="225">
                  <c:v>0.25</c:v>
                </c:pt>
                <c:pt idx="226">
                  <c:v>0</c:v>
                </c:pt>
                <c:pt idx="227">
                  <c:v>0</c:v>
                </c:pt>
                <c:pt idx="228">
                  <c:v>0.1</c:v>
                </c:pt>
                <c:pt idx="229">
                  <c:v>0.3</c:v>
                </c:pt>
                <c:pt idx="230">
                  <c:v>0.05</c:v>
                </c:pt>
                <c:pt idx="231">
                  <c:v>0.05</c:v>
                </c:pt>
                <c:pt idx="232">
                  <c:v>0.05</c:v>
                </c:pt>
                <c:pt idx="233">
                  <c:v>0.25</c:v>
                </c:pt>
                <c:pt idx="234">
                  <c:v>0.2</c:v>
                </c:pt>
                <c:pt idx="235">
                  <c:v>0.1</c:v>
                </c:pt>
                <c:pt idx="236">
                  <c:v>0.2</c:v>
                </c:pt>
                <c:pt idx="237">
                  <c:v>0.2</c:v>
                </c:pt>
                <c:pt idx="238">
                  <c:v>0.15</c:v>
                </c:pt>
                <c:pt idx="239">
                  <c:v>0</c:v>
                </c:pt>
                <c:pt idx="240">
                  <c:v>0.1</c:v>
                </c:pt>
                <c:pt idx="241">
                  <c:v>0.1</c:v>
                </c:pt>
                <c:pt idx="242">
                  <c:v>0.05</c:v>
                </c:pt>
                <c:pt idx="243">
                  <c:v>0.3</c:v>
                </c:pt>
                <c:pt idx="244">
                  <c:v>0.3</c:v>
                </c:pt>
                <c:pt idx="245">
                  <c:v>0.2</c:v>
                </c:pt>
                <c:pt idx="246">
                  <c:v>0.25</c:v>
                </c:pt>
                <c:pt idx="247">
                  <c:v>0</c:v>
                </c:pt>
                <c:pt idx="248">
                  <c:v>0.25</c:v>
                </c:pt>
                <c:pt idx="249">
                  <c:v>0.1</c:v>
                </c:pt>
                <c:pt idx="250">
                  <c:v>0.1</c:v>
                </c:pt>
                <c:pt idx="251">
                  <c:v>0</c:v>
                </c:pt>
                <c:pt idx="252">
                  <c:v>0</c:v>
                </c:pt>
                <c:pt idx="253">
                  <c:v>0.05</c:v>
                </c:pt>
                <c:pt idx="254">
                  <c:v>0.1</c:v>
                </c:pt>
                <c:pt idx="255">
                  <c:v>0</c:v>
                </c:pt>
                <c:pt idx="256">
                  <c:v>0.05</c:v>
                </c:pt>
                <c:pt idx="257">
                  <c:v>0.1</c:v>
                </c:pt>
                <c:pt idx="258">
                  <c:v>0.3</c:v>
                </c:pt>
                <c:pt idx="259">
                  <c:v>0.1</c:v>
                </c:pt>
                <c:pt idx="260">
                  <c:v>0.15</c:v>
                </c:pt>
                <c:pt idx="261">
                  <c:v>0.25</c:v>
                </c:pt>
                <c:pt idx="262">
                  <c:v>0.1</c:v>
                </c:pt>
                <c:pt idx="263">
                  <c:v>0.15</c:v>
                </c:pt>
                <c:pt idx="264">
                  <c:v>0.3</c:v>
                </c:pt>
                <c:pt idx="265">
                  <c:v>0</c:v>
                </c:pt>
                <c:pt idx="266">
                  <c:v>0.1</c:v>
                </c:pt>
                <c:pt idx="267">
                  <c:v>0.05</c:v>
                </c:pt>
                <c:pt idx="268">
                  <c:v>0.3</c:v>
                </c:pt>
                <c:pt idx="269">
                  <c:v>0.2</c:v>
                </c:pt>
                <c:pt idx="270">
                  <c:v>0.1</c:v>
                </c:pt>
                <c:pt idx="271">
                  <c:v>0.15</c:v>
                </c:pt>
                <c:pt idx="272">
                  <c:v>0.15</c:v>
                </c:pt>
                <c:pt idx="273">
                  <c:v>0.3</c:v>
                </c:pt>
                <c:pt idx="274">
                  <c:v>0.1</c:v>
                </c:pt>
                <c:pt idx="275">
                  <c:v>0.2</c:v>
                </c:pt>
                <c:pt idx="276">
                  <c:v>0</c:v>
                </c:pt>
                <c:pt idx="277">
                  <c:v>0</c:v>
                </c:pt>
                <c:pt idx="278">
                  <c:v>0</c:v>
                </c:pt>
                <c:pt idx="279">
                  <c:v>0.15</c:v>
                </c:pt>
                <c:pt idx="280">
                  <c:v>0.2</c:v>
                </c:pt>
                <c:pt idx="281">
                  <c:v>0.25</c:v>
                </c:pt>
                <c:pt idx="282">
                  <c:v>0.25</c:v>
                </c:pt>
                <c:pt idx="283">
                  <c:v>0.25</c:v>
                </c:pt>
                <c:pt idx="284">
                  <c:v>0.3</c:v>
                </c:pt>
                <c:pt idx="285">
                  <c:v>0.2</c:v>
                </c:pt>
                <c:pt idx="286">
                  <c:v>0.2</c:v>
                </c:pt>
                <c:pt idx="287">
                  <c:v>0.3</c:v>
                </c:pt>
                <c:pt idx="288">
                  <c:v>0.3</c:v>
                </c:pt>
                <c:pt idx="289">
                  <c:v>0.3</c:v>
                </c:pt>
                <c:pt idx="290">
                  <c:v>0.1</c:v>
                </c:pt>
                <c:pt idx="291">
                  <c:v>0.2</c:v>
                </c:pt>
                <c:pt idx="292">
                  <c:v>0.25</c:v>
                </c:pt>
                <c:pt idx="293">
                  <c:v>0.15</c:v>
                </c:pt>
                <c:pt idx="294">
                  <c:v>0.25</c:v>
                </c:pt>
                <c:pt idx="295">
                  <c:v>0.2</c:v>
                </c:pt>
                <c:pt idx="296">
                  <c:v>0.3</c:v>
                </c:pt>
                <c:pt idx="297">
                  <c:v>0.3</c:v>
                </c:pt>
                <c:pt idx="298">
                  <c:v>0.15</c:v>
                </c:pt>
                <c:pt idx="299">
                  <c:v>0</c:v>
                </c:pt>
                <c:pt idx="300">
                  <c:v>0.3</c:v>
                </c:pt>
                <c:pt idx="301">
                  <c:v>0.3</c:v>
                </c:pt>
                <c:pt idx="302">
                  <c:v>0.3</c:v>
                </c:pt>
                <c:pt idx="303">
                  <c:v>0.3</c:v>
                </c:pt>
                <c:pt idx="304">
                  <c:v>0.25</c:v>
                </c:pt>
                <c:pt idx="305">
                  <c:v>0</c:v>
                </c:pt>
                <c:pt idx="306">
                  <c:v>0.1</c:v>
                </c:pt>
                <c:pt idx="307">
                  <c:v>0</c:v>
                </c:pt>
                <c:pt idx="308">
                  <c:v>0.25</c:v>
                </c:pt>
                <c:pt idx="309">
                  <c:v>0.1</c:v>
                </c:pt>
                <c:pt idx="310">
                  <c:v>0.1</c:v>
                </c:pt>
                <c:pt idx="311">
                  <c:v>0.3</c:v>
                </c:pt>
                <c:pt idx="312">
                  <c:v>0.1</c:v>
                </c:pt>
                <c:pt idx="313">
                  <c:v>0.05</c:v>
                </c:pt>
                <c:pt idx="314">
                  <c:v>0.05</c:v>
                </c:pt>
                <c:pt idx="315">
                  <c:v>0.25</c:v>
                </c:pt>
                <c:pt idx="316">
                  <c:v>0.05</c:v>
                </c:pt>
                <c:pt idx="317">
                  <c:v>0.1</c:v>
                </c:pt>
                <c:pt idx="318">
                  <c:v>0.3</c:v>
                </c:pt>
                <c:pt idx="319">
                  <c:v>0.15</c:v>
                </c:pt>
                <c:pt idx="320">
                  <c:v>0.25</c:v>
                </c:pt>
                <c:pt idx="321">
                  <c:v>0</c:v>
                </c:pt>
                <c:pt idx="322">
                  <c:v>0.1</c:v>
                </c:pt>
                <c:pt idx="323">
                  <c:v>0.2</c:v>
                </c:pt>
                <c:pt idx="324">
                  <c:v>0.25</c:v>
                </c:pt>
                <c:pt idx="325">
                  <c:v>0.1</c:v>
                </c:pt>
                <c:pt idx="326">
                  <c:v>0.25</c:v>
                </c:pt>
                <c:pt idx="327">
                  <c:v>0.15</c:v>
                </c:pt>
                <c:pt idx="328">
                  <c:v>0.25</c:v>
                </c:pt>
                <c:pt idx="329">
                  <c:v>0.15</c:v>
                </c:pt>
                <c:pt idx="330">
                  <c:v>0.1</c:v>
                </c:pt>
                <c:pt idx="331">
                  <c:v>0.3</c:v>
                </c:pt>
                <c:pt idx="332">
                  <c:v>0.2</c:v>
                </c:pt>
                <c:pt idx="333">
                  <c:v>0.15</c:v>
                </c:pt>
                <c:pt idx="334">
                  <c:v>0.2</c:v>
                </c:pt>
                <c:pt idx="335">
                  <c:v>0.05</c:v>
                </c:pt>
                <c:pt idx="336">
                  <c:v>0.3</c:v>
                </c:pt>
                <c:pt idx="337">
                  <c:v>0.15</c:v>
                </c:pt>
                <c:pt idx="338">
                  <c:v>0.05</c:v>
                </c:pt>
                <c:pt idx="339">
                  <c:v>0.25</c:v>
                </c:pt>
                <c:pt idx="340">
                  <c:v>0.3</c:v>
                </c:pt>
                <c:pt idx="341">
                  <c:v>0.05</c:v>
                </c:pt>
                <c:pt idx="342">
                  <c:v>0.05</c:v>
                </c:pt>
                <c:pt idx="343">
                  <c:v>0.15</c:v>
                </c:pt>
                <c:pt idx="344">
                  <c:v>0.05</c:v>
                </c:pt>
                <c:pt idx="345">
                  <c:v>0.2</c:v>
                </c:pt>
                <c:pt idx="346">
                  <c:v>0.2</c:v>
                </c:pt>
                <c:pt idx="347">
                  <c:v>0</c:v>
                </c:pt>
                <c:pt idx="348">
                  <c:v>0</c:v>
                </c:pt>
                <c:pt idx="349">
                  <c:v>0.1</c:v>
                </c:pt>
                <c:pt idx="350">
                  <c:v>0.3</c:v>
                </c:pt>
                <c:pt idx="351">
                  <c:v>0.1</c:v>
                </c:pt>
                <c:pt idx="352">
                  <c:v>0.25</c:v>
                </c:pt>
                <c:pt idx="353">
                  <c:v>0.1</c:v>
                </c:pt>
                <c:pt idx="354">
                  <c:v>0.2</c:v>
                </c:pt>
                <c:pt idx="355">
                  <c:v>0.3</c:v>
                </c:pt>
                <c:pt idx="356">
                  <c:v>0</c:v>
                </c:pt>
                <c:pt idx="357">
                  <c:v>0.3</c:v>
                </c:pt>
                <c:pt idx="358">
                  <c:v>0</c:v>
                </c:pt>
                <c:pt idx="359">
                  <c:v>0.1</c:v>
                </c:pt>
                <c:pt idx="360">
                  <c:v>0.15</c:v>
                </c:pt>
                <c:pt idx="361">
                  <c:v>0.3</c:v>
                </c:pt>
                <c:pt idx="362">
                  <c:v>0</c:v>
                </c:pt>
                <c:pt idx="363">
                  <c:v>0.05</c:v>
                </c:pt>
                <c:pt idx="364">
                  <c:v>0.1</c:v>
                </c:pt>
                <c:pt idx="365">
                  <c:v>0.2</c:v>
                </c:pt>
                <c:pt idx="366">
                  <c:v>0.05</c:v>
                </c:pt>
                <c:pt idx="367">
                  <c:v>0.25</c:v>
                </c:pt>
                <c:pt idx="368">
                  <c:v>0.05</c:v>
                </c:pt>
                <c:pt idx="369">
                  <c:v>0.2</c:v>
                </c:pt>
                <c:pt idx="370">
                  <c:v>0.1</c:v>
                </c:pt>
                <c:pt idx="371">
                  <c:v>0.3</c:v>
                </c:pt>
                <c:pt idx="372">
                  <c:v>0.2</c:v>
                </c:pt>
                <c:pt idx="373">
                  <c:v>0.3</c:v>
                </c:pt>
                <c:pt idx="374">
                  <c:v>0.3</c:v>
                </c:pt>
                <c:pt idx="375">
                  <c:v>0.05</c:v>
                </c:pt>
                <c:pt idx="376">
                  <c:v>0.05</c:v>
                </c:pt>
                <c:pt idx="377">
                  <c:v>0</c:v>
                </c:pt>
                <c:pt idx="378">
                  <c:v>0</c:v>
                </c:pt>
                <c:pt idx="379">
                  <c:v>0</c:v>
                </c:pt>
                <c:pt idx="380">
                  <c:v>0</c:v>
                </c:pt>
                <c:pt idx="381">
                  <c:v>0</c:v>
                </c:pt>
                <c:pt idx="382">
                  <c:v>0.3</c:v>
                </c:pt>
                <c:pt idx="383">
                  <c:v>0.2</c:v>
                </c:pt>
                <c:pt idx="384">
                  <c:v>0.3</c:v>
                </c:pt>
                <c:pt idx="385">
                  <c:v>0.3</c:v>
                </c:pt>
                <c:pt idx="386">
                  <c:v>0.25</c:v>
                </c:pt>
                <c:pt idx="387">
                  <c:v>0.25</c:v>
                </c:pt>
                <c:pt idx="388">
                  <c:v>0</c:v>
                </c:pt>
                <c:pt idx="389">
                  <c:v>0.2</c:v>
                </c:pt>
                <c:pt idx="390">
                  <c:v>0.15</c:v>
                </c:pt>
                <c:pt idx="391">
                  <c:v>0</c:v>
                </c:pt>
                <c:pt idx="392">
                  <c:v>0.15</c:v>
                </c:pt>
                <c:pt idx="393">
                  <c:v>0.25</c:v>
                </c:pt>
                <c:pt idx="394">
                  <c:v>0.15</c:v>
                </c:pt>
                <c:pt idx="395">
                  <c:v>0.3</c:v>
                </c:pt>
                <c:pt idx="396">
                  <c:v>0.05</c:v>
                </c:pt>
                <c:pt idx="397">
                  <c:v>0.25</c:v>
                </c:pt>
                <c:pt idx="398">
                  <c:v>0.05</c:v>
                </c:pt>
                <c:pt idx="399">
                  <c:v>0</c:v>
                </c:pt>
                <c:pt idx="400">
                  <c:v>0.25</c:v>
                </c:pt>
                <c:pt idx="401">
                  <c:v>0.15</c:v>
                </c:pt>
                <c:pt idx="402">
                  <c:v>0.15</c:v>
                </c:pt>
                <c:pt idx="403">
                  <c:v>0.05</c:v>
                </c:pt>
                <c:pt idx="404">
                  <c:v>0.05</c:v>
                </c:pt>
                <c:pt idx="405">
                  <c:v>0.2</c:v>
                </c:pt>
                <c:pt idx="406">
                  <c:v>0.2</c:v>
                </c:pt>
                <c:pt idx="407">
                  <c:v>0.2</c:v>
                </c:pt>
                <c:pt idx="408">
                  <c:v>0.15</c:v>
                </c:pt>
                <c:pt idx="409">
                  <c:v>0.2</c:v>
                </c:pt>
                <c:pt idx="410">
                  <c:v>0.05</c:v>
                </c:pt>
                <c:pt idx="411">
                  <c:v>0.3</c:v>
                </c:pt>
                <c:pt idx="412">
                  <c:v>0.25</c:v>
                </c:pt>
                <c:pt idx="413">
                  <c:v>0.25</c:v>
                </c:pt>
                <c:pt idx="414">
                  <c:v>0.3</c:v>
                </c:pt>
                <c:pt idx="415">
                  <c:v>0.15</c:v>
                </c:pt>
                <c:pt idx="416">
                  <c:v>0.2</c:v>
                </c:pt>
                <c:pt idx="417">
                  <c:v>0.15</c:v>
                </c:pt>
                <c:pt idx="418">
                  <c:v>0.05</c:v>
                </c:pt>
                <c:pt idx="419">
                  <c:v>0</c:v>
                </c:pt>
                <c:pt idx="420">
                  <c:v>0.05</c:v>
                </c:pt>
                <c:pt idx="421">
                  <c:v>0.05</c:v>
                </c:pt>
                <c:pt idx="422">
                  <c:v>0</c:v>
                </c:pt>
                <c:pt idx="423">
                  <c:v>0</c:v>
                </c:pt>
                <c:pt idx="424">
                  <c:v>0</c:v>
                </c:pt>
                <c:pt idx="425">
                  <c:v>0.25</c:v>
                </c:pt>
                <c:pt idx="426">
                  <c:v>0</c:v>
                </c:pt>
                <c:pt idx="427">
                  <c:v>0.1</c:v>
                </c:pt>
                <c:pt idx="428">
                  <c:v>0</c:v>
                </c:pt>
                <c:pt idx="429">
                  <c:v>0.3</c:v>
                </c:pt>
                <c:pt idx="430">
                  <c:v>0.25</c:v>
                </c:pt>
                <c:pt idx="431">
                  <c:v>0</c:v>
                </c:pt>
                <c:pt idx="432">
                  <c:v>0</c:v>
                </c:pt>
                <c:pt idx="433">
                  <c:v>0</c:v>
                </c:pt>
                <c:pt idx="434">
                  <c:v>0.1</c:v>
                </c:pt>
                <c:pt idx="435">
                  <c:v>0.25</c:v>
                </c:pt>
                <c:pt idx="436">
                  <c:v>0.15</c:v>
                </c:pt>
                <c:pt idx="437">
                  <c:v>0</c:v>
                </c:pt>
                <c:pt idx="438">
                  <c:v>0.1</c:v>
                </c:pt>
                <c:pt idx="439">
                  <c:v>0.3</c:v>
                </c:pt>
                <c:pt idx="440">
                  <c:v>0.25</c:v>
                </c:pt>
                <c:pt idx="441">
                  <c:v>0.1</c:v>
                </c:pt>
                <c:pt idx="442">
                  <c:v>0</c:v>
                </c:pt>
                <c:pt idx="443">
                  <c:v>0</c:v>
                </c:pt>
                <c:pt idx="444">
                  <c:v>0.25</c:v>
                </c:pt>
                <c:pt idx="445">
                  <c:v>0</c:v>
                </c:pt>
                <c:pt idx="446">
                  <c:v>0.1</c:v>
                </c:pt>
                <c:pt idx="447">
                  <c:v>0.05</c:v>
                </c:pt>
                <c:pt idx="448">
                  <c:v>0.1</c:v>
                </c:pt>
                <c:pt idx="449">
                  <c:v>0.2</c:v>
                </c:pt>
                <c:pt idx="450">
                  <c:v>0</c:v>
                </c:pt>
                <c:pt idx="451">
                  <c:v>0.2</c:v>
                </c:pt>
                <c:pt idx="452">
                  <c:v>0.05</c:v>
                </c:pt>
                <c:pt idx="453">
                  <c:v>0.25</c:v>
                </c:pt>
                <c:pt idx="454">
                  <c:v>0.3</c:v>
                </c:pt>
                <c:pt idx="455">
                  <c:v>0.15</c:v>
                </c:pt>
                <c:pt idx="456">
                  <c:v>0.2</c:v>
                </c:pt>
                <c:pt idx="457">
                  <c:v>0</c:v>
                </c:pt>
                <c:pt idx="458">
                  <c:v>0.25</c:v>
                </c:pt>
                <c:pt idx="459">
                  <c:v>0.25</c:v>
                </c:pt>
                <c:pt idx="460">
                  <c:v>0.2</c:v>
                </c:pt>
                <c:pt idx="461">
                  <c:v>0.1</c:v>
                </c:pt>
                <c:pt idx="462">
                  <c:v>0.05</c:v>
                </c:pt>
                <c:pt idx="463">
                  <c:v>0.1</c:v>
                </c:pt>
                <c:pt idx="464">
                  <c:v>0.2</c:v>
                </c:pt>
                <c:pt idx="465">
                  <c:v>0.1</c:v>
                </c:pt>
                <c:pt idx="466">
                  <c:v>0</c:v>
                </c:pt>
                <c:pt idx="467">
                  <c:v>0.15</c:v>
                </c:pt>
                <c:pt idx="468">
                  <c:v>0.1</c:v>
                </c:pt>
                <c:pt idx="469">
                  <c:v>0.25</c:v>
                </c:pt>
                <c:pt idx="470">
                  <c:v>0.25</c:v>
                </c:pt>
                <c:pt idx="471">
                  <c:v>0.05</c:v>
                </c:pt>
                <c:pt idx="472">
                  <c:v>0</c:v>
                </c:pt>
                <c:pt idx="473">
                  <c:v>0.15</c:v>
                </c:pt>
                <c:pt idx="474">
                  <c:v>0.15</c:v>
                </c:pt>
                <c:pt idx="475">
                  <c:v>0.3</c:v>
                </c:pt>
                <c:pt idx="476">
                  <c:v>0.3</c:v>
                </c:pt>
                <c:pt idx="477">
                  <c:v>0.2</c:v>
                </c:pt>
                <c:pt idx="478">
                  <c:v>0.15</c:v>
                </c:pt>
                <c:pt idx="479">
                  <c:v>0.05</c:v>
                </c:pt>
                <c:pt idx="480">
                  <c:v>0.15</c:v>
                </c:pt>
                <c:pt idx="481">
                  <c:v>0.1</c:v>
                </c:pt>
                <c:pt idx="482">
                  <c:v>0.05</c:v>
                </c:pt>
                <c:pt idx="483">
                  <c:v>0</c:v>
                </c:pt>
                <c:pt idx="484">
                  <c:v>0</c:v>
                </c:pt>
                <c:pt idx="485">
                  <c:v>0.15</c:v>
                </c:pt>
                <c:pt idx="486">
                  <c:v>0.05</c:v>
                </c:pt>
                <c:pt idx="487">
                  <c:v>0.25</c:v>
                </c:pt>
                <c:pt idx="488">
                  <c:v>0.15</c:v>
                </c:pt>
                <c:pt idx="489">
                  <c:v>0.25</c:v>
                </c:pt>
                <c:pt idx="490">
                  <c:v>0.05</c:v>
                </c:pt>
                <c:pt idx="491">
                  <c:v>0</c:v>
                </c:pt>
                <c:pt idx="492">
                  <c:v>0.3</c:v>
                </c:pt>
                <c:pt idx="493">
                  <c:v>0.1</c:v>
                </c:pt>
                <c:pt idx="494">
                  <c:v>0.15</c:v>
                </c:pt>
                <c:pt idx="495">
                  <c:v>0.1</c:v>
                </c:pt>
                <c:pt idx="496">
                  <c:v>0.05</c:v>
                </c:pt>
                <c:pt idx="497">
                  <c:v>0.25</c:v>
                </c:pt>
                <c:pt idx="498">
                  <c:v>0.3</c:v>
                </c:pt>
                <c:pt idx="499">
                  <c:v>0.1</c:v>
                </c:pt>
                <c:pt idx="500">
                  <c:v>0.3</c:v>
                </c:pt>
                <c:pt idx="501">
                  <c:v>0.25</c:v>
                </c:pt>
                <c:pt idx="502">
                  <c:v>0.2</c:v>
                </c:pt>
                <c:pt idx="503">
                  <c:v>0.3</c:v>
                </c:pt>
                <c:pt idx="504">
                  <c:v>0.3</c:v>
                </c:pt>
                <c:pt idx="505">
                  <c:v>0.1</c:v>
                </c:pt>
                <c:pt idx="506">
                  <c:v>0.2</c:v>
                </c:pt>
                <c:pt idx="507">
                  <c:v>0.05</c:v>
                </c:pt>
                <c:pt idx="508">
                  <c:v>0.3</c:v>
                </c:pt>
                <c:pt idx="509">
                  <c:v>0.2</c:v>
                </c:pt>
                <c:pt idx="510">
                  <c:v>0.25</c:v>
                </c:pt>
                <c:pt idx="511">
                  <c:v>0.25</c:v>
                </c:pt>
                <c:pt idx="512">
                  <c:v>0.2</c:v>
                </c:pt>
                <c:pt idx="513">
                  <c:v>0.1</c:v>
                </c:pt>
                <c:pt idx="514">
                  <c:v>0.1</c:v>
                </c:pt>
                <c:pt idx="515">
                  <c:v>0.25</c:v>
                </c:pt>
                <c:pt idx="516">
                  <c:v>0</c:v>
                </c:pt>
                <c:pt idx="517">
                  <c:v>0.3</c:v>
                </c:pt>
                <c:pt idx="518">
                  <c:v>0.05</c:v>
                </c:pt>
                <c:pt idx="519">
                  <c:v>0.25</c:v>
                </c:pt>
                <c:pt idx="520">
                  <c:v>0.1</c:v>
                </c:pt>
                <c:pt idx="521">
                  <c:v>0.15</c:v>
                </c:pt>
                <c:pt idx="522">
                  <c:v>0.05</c:v>
                </c:pt>
                <c:pt idx="523">
                  <c:v>0.25</c:v>
                </c:pt>
                <c:pt idx="524">
                  <c:v>0.25</c:v>
                </c:pt>
                <c:pt idx="525">
                  <c:v>0.25</c:v>
                </c:pt>
                <c:pt idx="526">
                  <c:v>0.15</c:v>
                </c:pt>
                <c:pt idx="527">
                  <c:v>0.1</c:v>
                </c:pt>
                <c:pt idx="528">
                  <c:v>0.2</c:v>
                </c:pt>
                <c:pt idx="529">
                  <c:v>0.2</c:v>
                </c:pt>
                <c:pt idx="530">
                  <c:v>0.05</c:v>
                </c:pt>
                <c:pt idx="531">
                  <c:v>0</c:v>
                </c:pt>
                <c:pt idx="532">
                  <c:v>0.2</c:v>
                </c:pt>
                <c:pt idx="533">
                  <c:v>0.3</c:v>
                </c:pt>
                <c:pt idx="534">
                  <c:v>0.2</c:v>
                </c:pt>
                <c:pt idx="535">
                  <c:v>0</c:v>
                </c:pt>
                <c:pt idx="536">
                  <c:v>0.05</c:v>
                </c:pt>
                <c:pt idx="537">
                  <c:v>0.1</c:v>
                </c:pt>
                <c:pt idx="538">
                  <c:v>0.25</c:v>
                </c:pt>
                <c:pt idx="539">
                  <c:v>0.15</c:v>
                </c:pt>
                <c:pt idx="540">
                  <c:v>0.25</c:v>
                </c:pt>
                <c:pt idx="541">
                  <c:v>0.05</c:v>
                </c:pt>
                <c:pt idx="542">
                  <c:v>0.25</c:v>
                </c:pt>
                <c:pt idx="543">
                  <c:v>0.1</c:v>
                </c:pt>
                <c:pt idx="544">
                  <c:v>0</c:v>
                </c:pt>
                <c:pt idx="545">
                  <c:v>0.3</c:v>
                </c:pt>
                <c:pt idx="546">
                  <c:v>0</c:v>
                </c:pt>
                <c:pt idx="547">
                  <c:v>0</c:v>
                </c:pt>
                <c:pt idx="548">
                  <c:v>0.1</c:v>
                </c:pt>
                <c:pt idx="549">
                  <c:v>0.15</c:v>
                </c:pt>
                <c:pt idx="550">
                  <c:v>0.3</c:v>
                </c:pt>
                <c:pt idx="551">
                  <c:v>0.05</c:v>
                </c:pt>
                <c:pt idx="552">
                  <c:v>0.1</c:v>
                </c:pt>
                <c:pt idx="553">
                  <c:v>0.3</c:v>
                </c:pt>
                <c:pt idx="554">
                  <c:v>0.05</c:v>
                </c:pt>
                <c:pt idx="555">
                  <c:v>0.15</c:v>
                </c:pt>
                <c:pt idx="556">
                  <c:v>0.05</c:v>
                </c:pt>
                <c:pt idx="557">
                  <c:v>0.3</c:v>
                </c:pt>
                <c:pt idx="558">
                  <c:v>0.3</c:v>
                </c:pt>
                <c:pt idx="559">
                  <c:v>0.3</c:v>
                </c:pt>
                <c:pt idx="560">
                  <c:v>0.1</c:v>
                </c:pt>
                <c:pt idx="561">
                  <c:v>0</c:v>
                </c:pt>
                <c:pt idx="562">
                  <c:v>0.05</c:v>
                </c:pt>
                <c:pt idx="563">
                  <c:v>0.25</c:v>
                </c:pt>
                <c:pt idx="564">
                  <c:v>0.2</c:v>
                </c:pt>
                <c:pt idx="565">
                  <c:v>0</c:v>
                </c:pt>
                <c:pt idx="566">
                  <c:v>0</c:v>
                </c:pt>
                <c:pt idx="567">
                  <c:v>0.2</c:v>
                </c:pt>
                <c:pt idx="568">
                  <c:v>0.05</c:v>
                </c:pt>
                <c:pt idx="569">
                  <c:v>0.05</c:v>
                </c:pt>
                <c:pt idx="570">
                  <c:v>0.25</c:v>
                </c:pt>
                <c:pt idx="571">
                  <c:v>0</c:v>
                </c:pt>
                <c:pt idx="572">
                  <c:v>0.05</c:v>
                </c:pt>
                <c:pt idx="573">
                  <c:v>0.3</c:v>
                </c:pt>
                <c:pt idx="574">
                  <c:v>0</c:v>
                </c:pt>
                <c:pt idx="575">
                  <c:v>0.05</c:v>
                </c:pt>
                <c:pt idx="576">
                  <c:v>0</c:v>
                </c:pt>
                <c:pt idx="577">
                  <c:v>0.25</c:v>
                </c:pt>
                <c:pt idx="578">
                  <c:v>0.2</c:v>
                </c:pt>
                <c:pt idx="579">
                  <c:v>0</c:v>
                </c:pt>
                <c:pt idx="580">
                  <c:v>0.15</c:v>
                </c:pt>
                <c:pt idx="581">
                  <c:v>0</c:v>
                </c:pt>
                <c:pt idx="582">
                  <c:v>0.15</c:v>
                </c:pt>
                <c:pt idx="583">
                  <c:v>0</c:v>
                </c:pt>
                <c:pt idx="584">
                  <c:v>0.05</c:v>
                </c:pt>
                <c:pt idx="585">
                  <c:v>0.05</c:v>
                </c:pt>
                <c:pt idx="586">
                  <c:v>0.1</c:v>
                </c:pt>
                <c:pt idx="587">
                  <c:v>0.25</c:v>
                </c:pt>
                <c:pt idx="588">
                  <c:v>0.1</c:v>
                </c:pt>
                <c:pt idx="589">
                  <c:v>0.3</c:v>
                </c:pt>
                <c:pt idx="590">
                  <c:v>0.15</c:v>
                </c:pt>
                <c:pt idx="591">
                  <c:v>0.2</c:v>
                </c:pt>
                <c:pt idx="592">
                  <c:v>0.15</c:v>
                </c:pt>
                <c:pt idx="593">
                  <c:v>0.25</c:v>
                </c:pt>
                <c:pt idx="594">
                  <c:v>0.05</c:v>
                </c:pt>
                <c:pt idx="595">
                  <c:v>0.1</c:v>
                </c:pt>
                <c:pt idx="596">
                  <c:v>0.1</c:v>
                </c:pt>
                <c:pt idx="597">
                  <c:v>0</c:v>
                </c:pt>
                <c:pt idx="598">
                  <c:v>0.3</c:v>
                </c:pt>
                <c:pt idx="599">
                  <c:v>0.25</c:v>
                </c:pt>
                <c:pt idx="600">
                  <c:v>0.2</c:v>
                </c:pt>
                <c:pt idx="601">
                  <c:v>0.05</c:v>
                </c:pt>
                <c:pt idx="602">
                  <c:v>0.25</c:v>
                </c:pt>
                <c:pt idx="603">
                  <c:v>0.15</c:v>
                </c:pt>
                <c:pt idx="604">
                  <c:v>0.15</c:v>
                </c:pt>
                <c:pt idx="605">
                  <c:v>0.15</c:v>
                </c:pt>
                <c:pt idx="606">
                  <c:v>0.2</c:v>
                </c:pt>
                <c:pt idx="607">
                  <c:v>0.3</c:v>
                </c:pt>
                <c:pt idx="608">
                  <c:v>0.25</c:v>
                </c:pt>
                <c:pt idx="609">
                  <c:v>0.2</c:v>
                </c:pt>
                <c:pt idx="610">
                  <c:v>0.05</c:v>
                </c:pt>
                <c:pt idx="611">
                  <c:v>0.15</c:v>
                </c:pt>
                <c:pt idx="612">
                  <c:v>0.1</c:v>
                </c:pt>
                <c:pt idx="613">
                  <c:v>0.15</c:v>
                </c:pt>
                <c:pt idx="614">
                  <c:v>0.3</c:v>
                </c:pt>
                <c:pt idx="615">
                  <c:v>0.05</c:v>
                </c:pt>
                <c:pt idx="616">
                  <c:v>0.1</c:v>
                </c:pt>
                <c:pt idx="617">
                  <c:v>0.25</c:v>
                </c:pt>
                <c:pt idx="618">
                  <c:v>0</c:v>
                </c:pt>
                <c:pt idx="619">
                  <c:v>0.25</c:v>
                </c:pt>
                <c:pt idx="620">
                  <c:v>0.2</c:v>
                </c:pt>
                <c:pt idx="621">
                  <c:v>0.3</c:v>
                </c:pt>
                <c:pt idx="622">
                  <c:v>0.3</c:v>
                </c:pt>
                <c:pt idx="623">
                  <c:v>0.15</c:v>
                </c:pt>
                <c:pt idx="624">
                  <c:v>0.1</c:v>
                </c:pt>
                <c:pt idx="625">
                  <c:v>0.2</c:v>
                </c:pt>
                <c:pt idx="626">
                  <c:v>0.25</c:v>
                </c:pt>
                <c:pt idx="627">
                  <c:v>0.2</c:v>
                </c:pt>
                <c:pt idx="628">
                  <c:v>0.15</c:v>
                </c:pt>
                <c:pt idx="629">
                  <c:v>0.1</c:v>
                </c:pt>
                <c:pt idx="630">
                  <c:v>0.25</c:v>
                </c:pt>
                <c:pt idx="631">
                  <c:v>0.25</c:v>
                </c:pt>
                <c:pt idx="632">
                  <c:v>0.1</c:v>
                </c:pt>
                <c:pt idx="633">
                  <c:v>0.05</c:v>
                </c:pt>
                <c:pt idx="634">
                  <c:v>0.25</c:v>
                </c:pt>
                <c:pt idx="635">
                  <c:v>0.25</c:v>
                </c:pt>
                <c:pt idx="636">
                  <c:v>0.25</c:v>
                </c:pt>
                <c:pt idx="637">
                  <c:v>0.2</c:v>
                </c:pt>
                <c:pt idx="638">
                  <c:v>0.1</c:v>
                </c:pt>
                <c:pt idx="639">
                  <c:v>0.25</c:v>
                </c:pt>
                <c:pt idx="640">
                  <c:v>0.15</c:v>
                </c:pt>
                <c:pt idx="641">
                  <c:v>0.3</c:v>
                </c:pt>
                <c:pt idx="642">
                  <c:v>0.1</c:v>
                </c:pt>
                <c:pt idx="643">
                  <c:v>0.05</c:v>
                </c:pt>
                <c:pt idx="644">
                  <c:v>0.05</c:v>
                </c:pt>
                <c:pt idx="645">
                  <c:v>0.15</c:v>
                </c:pt>
                <c:pt idx="646">
                  <c:v>0.2</c:v>
                </c:pt>
                <c:pt idx="647">
                  <c:v>0.2</c:v>
                </c:pt>
                <c:pt idx="648">
                  <c:v>0</c:v>
                </c:pt>
                <c:pt idx="649">
                  <c:v>0.2</c:v>
                </c:pt>
                <c:pt idx="650">
                  <c:v>0</c:v>
                </c:pt>
                <c:pt idx="651">
                  <c:v>0.05</c:v>
                </c:pt>
                <c:pt idx="652">
                  <c:v>0.15</c:v>
                </c:pt>
                <c:pt idx="653">
                  <c:v>0.2</c:v>
                </c:pt>
                <c:pt idx="654">
                  <c:v>0.1</c:v>
                </c:pt>
                <c:pt idx="655">
                  <c:v>0.05</c:v>
                </c:pt>
                <c:pt idx="656">
                  <c:v>0.2</c:v>
                </c:pt>
                <c:pt idx="657">
                  <c:v>0.05</c:v>
                </c:pt>
                <c:pt idx="658">
                  <c:v>0.25</c:v>
                </c:pt>
                <c:pt idx="659">
                  <c:v>0.15</c:v>
                </c:pt>
                <c:pt idx="660">
                  <c:v>0.3</c:v>
                </c:pt>
                <c:pt idx="661">
                  <c:v>0</c:v>
                </c:pt>
                <c:pt idx="662">
                  <c:v>0.3</c:v>
                </c:pt>
                <c:pt idx="663">
                  <c:v>0.25</c:v>
                </c:pt>
                <c:pt idx="664">
                  <c:v>0.05</c:v>
                </c:pt>
                <c:pt idx="665">
                  <c:v>0.05</c:v>
                </c:pt>
                <c:pt idx="666">
                  <c:v>0.1</c:v>
                </c:pt>
                <c:pt idx="667">
                  <c:v>0.1</c:v>
                </c:pt>
                <c:pt idx="668">
                  <c:v>0.05</c:v>
                </c:pt>
                <c:pt idx="669">
                  <c:v>0.2</c:v>
                </c:pt>
                <c:pt idx="670">
                  <c:v>0.15</c:v>
                </c:pt>
                <c:pt idx="671">
                  <c:v>0.05</c:v>
                </c:pt>
                <c:pt idx="672">
                  <c:v>0</c:v>
                </c:pt>
                <c:pt idx="673">
                  <c:v>0</c:v>
                </c:pt>
                <c:pt idx="674">
                  <c:v>0.05</c:v>
                </c:pt>
                <c:pt idx="675">
                  <c:v>0.2</c:v>
                </c:pt>
                <c:pt idx="676">
                  <c:v>0.1</c:v>
                </c:pt>
                <c:pt idx="677">
                  <c:v>0.05</c:v>
                </c:pt>
                <c:pt idx="678">
                  <c:v>0.3</c:v>
                </c:pt>
                <c:pt idx="679">
                  <c:v>0.1</c:v>
                </c:pt>
                <c:pt idx="680">
                  <c:v>0.25</c:v>
                </c:pt>
                <c:pt idx="681">
                  <c:v>0.1</c:v>
                </c:pt>
                <c:pt idx="682">
                  <c:v>0</c:v>
                </c:pt>
                <c:pt idx="683">
                  <c:v>0.15</c:v>
                </c:pt>
                <c:pt idx="684">
                  <c:v>0.3</c:v>
                </c:pt>
                <c:pt idx="685">
                  <c:v>0.05</c:v>
                </c:pt>
                <c:pt idx="686">
                  <c:v>0.2</c:v>
                </c:pt>
                <c:pt idx="687">
                  <c:v>0</c:v>
                </c:pt>
                <c:pt idx="688">
                  <c:v>0</c:v>
                </c:pt>
                <c:pt idx="689">
                  <c:v>0</c:v>
                </c:pt>
                <c:pt idx="690">
                  <c:v>0.3</c:v>
                </c:pt>
                <c:pt idx="691">
                  <c:v>0.1</c:v>
                </c:pt>
                <c:pt idx="692">
                  <c:v>0</c:v>
                </c:pt>
                <c:pt idx="693">
                  <c:v>0.2</c:v>
                </c:pt>
                <c:pt idx="694">
                  <c:v>0</c:v>
                </c:pt>
                <c:pt idx="695">
                  <c:v>0.3</c:v>
                </c:pt>
                <c:pt idx="696">
                  <c:v>0.25</c:v>
                </c:pt>
                <c:pt idx="697">
                  <c:v>0.1</c:v>
                </c:pt>
                <c:pt idx="698">
                  <c:v>0.25</c:v>
                </c:pt>
                <c:pt idx="699">
                  <c:v>0.05</c:v>
                </c:pt>
                <c:pt idx="700">
                  <c:v>0.1</c:v>
                </c:pt>
                <c:pt idx="701">
                  <c:v>0.25</c:v>
                </c:pt>
                <c:pt idx="702">
                  <c:v>0.15</c:v>
                </c:pt>
                <c:pt idx="703">
                  <c:v>0.25</c:v>
                </c:pt>
                <c:pt idx="704">
                  <c:v>0.3</c:v>
                </c:pt>
                <c:pt idx="705">
                  <c:v>0.1</c:v>
                </c:pt>
                <c:pt idx="706">
                  <c:v>0</c:v>
                </c:pt>
                <c:pt idx="707">
                  <c:v>0.15</c:v>
                </c:pt>
                <c:pt idx="708">
                  <c:v>0.15</c:v>
                </c:pt>
                <c:pt idx="709">
                  <c:v>0.3</c:v>
                </c:pt>
                <c:pt idx="710">
                  <c:v>0.2</c:v>
                </c:pt>
                <c:pt idx="711">
                  <c:v>0</c:v>
                </c:pt>
                <c:pt idx="712">
                  <c:v>0.2</c:v>
                </c:pt>
                <c:pt idx="713">
                  <c:v>0.3</c:v>
                </c:pt>
                <c:pt idx="714">
                  <c:v>0.15</c:v>
                </c:pt>
                <c:pt idx="715">
                  <c:v>0.05</c:v>
                </c:pt>
                <c:pt idx="716">
                  <c:v>0.05</c:v>
                </c:pt>
                <c:pt idx="717">
                  <c:v>0.1</c:v>
                </c:pt>
                <c:pt idx="718">
                  <c:v>0.3</c:v>
                </c:pt>
                <c:pt idx="719">
                  <c:v>0.15</c:v>
                </c:pt>
                <c:pt idx="720">
                  <c:v>0.1</c:v>
                </c:pt>
                <c:pt idx="721">
                  <c:v>0.05</c:v>
                </c:pt>
                <c:pt idx="722">
                  <c:v>0.2</c:v>
                </c:pt>
                <c:pt idx="723">
                  <c:v>0.25</c:v>
                </c:pt>
                <c:pt idx="724">
                  <c:v>0.05</c:v>
                </c:pt>
                <c:pt idx="725">
                  <c:v>0</c:v>
                </c:pt>
                <c:pt idx="726">
                  <c:v>0.25</c:v>
                </c:pt>
                <c:pt idx="727">
                  <c:v>0.2</c:v>
                </c:pt>
                <c:pt idx="728">
                  <c:v>0.2</c:v>
                </c:pt>
                <c:pt idx="729">
                  <c:v>0.05</c:v>
                </c:pt>
                <c:pt idx="730">
                  <c:v>0</c:v>
                </c:pt>
                <c:pt idx="731">
                  <c:v>0.05</c:v>
                </c:pt>
                <c:pt idx="732">
                  <c:v>0.15</c:v>
                </c:pt>
                <c:pt idx="733">
                  <c:v>0.1</c:v>
                </c:pt>
                <c:pt idx="734">
                  <c:v>0.15</c:v>
                </c:pt>
                <c:pt idx="735">
                  <c:v>0.05</c:v>
                </c:pt>
                <c:pt idx="736">
                  <c:v>0.3</c:v>
                </c:pt>
                <c:pt idx="737">
                  <c:v>0.25</c:v>
                </c:pt>
                <c:pt idx="738">
                  <c:v>0.05</c:v>
                </c:pt>
                <c:pt idx="739">
                  <c:v>0.15</c:v>
                </c:pt>
                <c:pt idx="740">
                  <c:v>0.25</c:v>
                </c:pt>
                <c:pt idx="741">
                  <c:v>0.25</c:v>
                </c:pt>
                <c:pt idx="742">
                  <c:v>0.1</c:v>
                </c:pt>
                <c:pt idx="743">
                  <c:v>0</c:v>
                </c:pt>
                <c:pt idx="744">
                  <c:v>0.1</c:v>
                </c:pt>
                <c:pt idx="745">
                  <c:v>0.2</c:v>
                </c:pt>
                <c:pt idx="746">
                  <c:v>0.1</c:v>
                </c:pt>
                <c:pt idx="747">
                  <c:v>0.2</c:v>
                </c:pt>
                <c:pt idx="748">
                  <c:v>0.15</c:v>
                </c:pt>
                <c:pt idx="749">
                  <c:v>0.1</c:v>
                </c:pt>
                <c:pt idx="750">
                  <c:v>0.1</c:v>
                </c:pt>
                <c:pt idx="751">
                  <c:v>0.1</c:v>
                </c:pt>
                <c:pt idx="752">
                  <c:v>0.05</c:v>
                </c:pt>
                <c:pt idx="753">
                  <c:v>0</c:v>
                </c:pt>
                <c:pt idx="754">
                  <c:v>0.25</c:v>
                </c:pt>
                <c:pt idx="755">
                  <c:v>0.25</c:v>
                </c:pt>
                <c:pt idx="756">
                  <c:v>0.05</c:v>
                </c:pt>
                <c:pt idx="757">
                  <c:v>0.05</c:v>
                </c:pt>
                <c:pt idx="758">
                  <c:v>0.25</c:v>
                </c:pt>
                <c:pt idx="759">
                  <c:v>0</c:v>
                </c:pt>
                <c:pt idx="760">
                  <c:v>0.05</c:v>
                </c:pt>
                <c:pt idx="761">
                  <c:v>0.3</c:v>
                </c:pt>
                <c:pt idx="762">
                  <c:v>0.25</c:v>
                </c:pt>
                <c:pt idx="763">
                  <c:v>0.15</c:v>
                </c:pt>
                <c:pt idx="764">
                  <c:v>0.1</c:v>
                </c:pt>
                <c:pt idx="765">
                  <c:v>0.3</c:v>
                </c:pt>
                <c:pt idx="766">
                  <c:v>0.15</c:v>
                </c:pt>
                <c:pt idx="767">
                  <c:v>0.15</c:v>
                </c:pt>
                <c:pt idx="768">
                  <c:v>0.1</c:v>
                </c:pt>
                <c:pt idx="769">
                  <c:v>0.15</c:v>
                </c:pt>
                <c:pt idx="770">
                  <c:v>0.1</c:v>
                </c:pt>
                <c:pt idx="771">
                  <c:v>0.2</c:v>
                </c:pt>
                <c:pt idx="772">
                  <c:v>0.3</c:v>
                </c:pt>
                <c:pt idx="773">
                  <c:v>0.3</c:v>
                </c:pt>
                <c:pt idx="774">
                  <c:v>0.05</c:v>
                </c:pt>
                <c:pt idx="775">
                  <c:v>0.1</c:v>
                </c:pt>
                <c:pt idx="776">
                  <c:v>0.3</c:v>
                </c:pt>
                <c:pt idx="777">
                  <c:v>0.3</c:v>
                </c:pt>
                <c:pt idx="778">
                  <c:v>0.15</c:v>
                </c:pt>
                <c:pt idx="779">
                  <c:v>0.25</c:v>
                </c:pt>
                <c:pt idx="780">
                  <c:v>0.1</c:v>
                </c:pt>
                <c:pt idx="781">
                  <c:v>0.2</c:v>
                </c:pt>
                <c:pt idx="782">
                  <c:v>0.05</c:v>
                </c:pt>
                <c:pt idx="783">
                  <c:v>0.05</c:v>
                </c:pt>
                <c:pt idx="784">
                  <c:v>0.1</c:v>
                </c:pt>
                <c:pt idx="785">
                  <c:v>0.1</c:v>
                </c:pt>
                <c:pt idx="786">
                  <c:v>0.05</c:v>
                </c:pt>
                <c:pt idx="787">
                  <c:v>0.05</c:v>
                </c:pt>
                <c:pt idx="788">
                  <c:v>0.1</c:v>
                </c:pt>
                <c:pt idx="789">
                  <c:v>0.3</c:v>
                </c:pt>
                <c:pt idx="790">
                  <c:v>0.05</c:v>
                </c:pt>
                <c:pt idx="791">
                  <c:v>0.15</c:v>
                </c:pt>
                <c:pt idx="792">
                  <c:v>0.3</c:v>
                </c:pt>
                <c:pt idx="793">
                  <c:v>0.3</c:v>
                </c:pt>
                <c:pt idx="794">
                  <c:v>0.05</c:v>
                </c:pt>
                <c:pt idx="795">
                  <c:v>0.3</c:v>
                </c:pt>
                <c:pt idx="796">
                  <c:v>0.15</c:v>
                </c:pt>
                <c:pt idx="797">
                  <c:v>0</c:v>
                </c:pt>
                <c:pt idx="798">
                  <c:v>0.15</c:v>
                </c:pt>
                <c:pt idx="799">
                  <c:v>0.05</c:v>
                </c:pt>
                <c:pt idx="800">
                  <c:v>0.05</c:v>
                </c:pt>
                <c:pt idx="801">
                  <c:v>0.15</c:v>
                </c:pt>
                <c:pt idx="802">
                  <c:v>0.05</c:v>
                </c:pt>
                <c:pt idx="803">
                  <c:v>0.3</c:v>
                </c:pt>
                <c:pt idx="804">
                  <c:v>0.25</c:v>
                </c:pt>
                <c:pt idx="805">
                  <c:v>0.3</c:v>
                </c:pt>
                <c:pt idx="806">
                  <c:v>0.1</c:v>
                </c:pt>
                <c:pt idx="807">
                  <c:v>0.2</c:v>
                </c:pt>
                <c:pt idx="808">
                  <c:v>0</c:v>
                </c:pt>
                <c:pt idx="809">
                  <c:v>0.15</c:v>
                </c:pt>
                <c:pt idx="810">
                  <c:v>0.25</c:v>
                </c:pt>
                <c:pt idx="811">
                  <c:v>0.2</c:v>
                </c:pt>
                <c:pt idx="812">
                  <c:v>0.15</c:v>
                </c:pt>
                <c:pt idx="813">
                  <c:v>0.2</c:v>
                </c:pt>
                <c:pt idx="814">
                  <c:v>0.05</c:v>
                </c:pt>
                <c:pt idx="815">
                  <c:v>0.1</c:v>
                </c:pt>
                <c:pt idx="816">
                  <c:v>0.15</c:v>
                </c:pt>
                <c:pt idx="817">
                  <c:v>0.1</c:v>
                </c:pt>
                <c:pt idx="818">
                  <c:v>0.2</c:v>
                </c:pt>
                <c:pt idx="819">
                  <c:v>0</c:v>
                </c:pt>
                <c:pt idx="820">
                  <c:v>0.3</c:v>
                </c:pt>
                <c:pt idx="821">
                  <c:v>0.25</c:v>
                </c:pt>
                <c:pt idx="822">
                  <c:v>0.2</c:v>
                </c:pt>
                <c:pt idx="823">
                  <c:v>0.3</c:v>
                </c:pt>
                <c:pt idx="824">
                  <c:v>0.25</c:v>
                </c:pt>
                <c:pt idx="825">
                  <c:v>0.15</c:v>
                </c:pt>
                <c:pt idx="826">
                  <c:v>0</c:v>
                </c:pt>
                <c:pt idx="827">
                  <c:v>0</c:v>
                </c:pt>
                <c:pt idx="828">
                  <c:v>0.05</c:v>
                </c:pt>
                <c:pt idx="829">
                  <c:v>0.05</c:v>
                </c:pt>
                <c:pt idx="830">
                  <c:v>0.1</c:v>
                </c:pt>
                <c:pt idx="831">
                  <c:v>0.3</c:v>
                </c:pt>
                <c:pt idx="832">
                  <c:v>0.1</c:v>
                </c:pt>
                <c:pt idx="833">
                  <c:v>0.25</c:v>
                </c:pt>
                <c:pt idx="834">
                  <c:v>0.15</c:v>
                </c:pt>
                <c:pt idx="835">
                  <c:v>0</c:v>
                </c:pt>
                <c:pt idx="836">
                  <c:v>0.3</c:v>
                </c:pt>
                <c:pt idx="837">
                  <c:v>0.3</c:v>
                </c:pt>
                <c:pt idx="838">
                  <c:v>0.2</c:v>
                </c:pt>
                <c:pt idx="839">
                  <c:v>0.2</c:v>
                </c:pt>
                <c:pt idx="840">
                  <c:v>0.25</c:v>
                </c:pt>
                <c:pt idx="841">
                  <c:v>0.05</c:v>
                </c:pt>
                <c:pt idx="842">
                  <c:v>0.15</c:v>
                </c:pt>
                <c:pt idx="843">
                  <c:v>0.05</c:v>
                </c:pt>
                <c:pt idx="844">
                  <c:v>0.05</c:v>
                </c:pt>
                <c:pt idx="845">
                  <c:v>0</c:v>
                </c:pt>
                <c:pt idx="846">
                  <c:v>0.25</c:v>
                </c:pt>
                <c:pt idx="847">
                  <c:v>0.2</c:v>
                </c:pt>
                <c:pt idx="848">
                  <c:v>0.15</c:v>
                </c:pt>
                <c:pt idx="849">
                  <c:v>0.05</c:v>
                </c:pt>
                <c:pt idx="850">
                  <c:v>0</c:v>
                </c:pt>
                <c:pt idx="851">
                  <c:v>0.1</c:v>
                </c:pt>
                <c:pt idx="852">
                  <c:v>0</c:v>
                </c:pt>
                <c:pt idx="853">
                  <c:v>0.3</c:v>
                </c:pt>
                <c:pt idx="854">
                  <c:v>0.2</c:v>
                </c:pt>
                <c:pt idx="855">
                  <c:v>0.1</c:v>
                </c:pt>
                <c:pt idx="856">
                  <c:v>0.25</c:v>
                </c:pt>
                <c:pt idx="857">
                  <c:v>0.1</c:v>
                </c:pt>
                <c:pt idx="858">
                  <c:v>0.15</c:v>
                </c:pt>
                <c:pt idx="859">
                  <c:v>0.3</c:v>
                </c:pt>
                <c:pt idx="860">
                  <c:v>0.25</c:v>
                </c:pt>
                <c:pt idx="861">
                  <c:v>0.05</c:v>
                </c:pt>
                <c:pt idx="862">
                  <c:v>0.2</c:v>
                </c:pt>
                <c:pt idx="863">
                  <c:v>0.05</c:v>
                </c:pt>
                <c:pt idx="864">
                  <c:v>0.2</c:v>
                </c:pt>
                <c:pt idx="865">
                  <c:v>0.3</c:v>
                </c:pt>
                <c:pt idx="866">
                  <c:v>0.3</c:v>
                </c:pt>
                <c:pt idx="867">
                  <c:v>0.2</c:v>
                </c:pt>
                <c:pt idx="868">
                  <c:v>0</c:v>
                </c:pt>
                <c:pt idx="869">
                  <c:v>0.3</c:v>
                </c:pt>
                <c:pt idx="870">
                  <c:v>0.05</c:v>
                </c:pt>
                <c:pt idx="871">
                  <c:v>0.25</c:v>
                </c:pt>
                <c:pt idx="872">
                  <c:v>0.05</c:v>
                </c:pt>
                <c:pt idx="873">
                  <c:v>0</c:v>
                </c:pt>
                <c:pt idx="874">
                  <c:v>0.25</c:v>
                </c:pt>
                <c:pt idx="875">
                  <c:v>0.2</c:v>
                </c:pt>
                <c:pt idx="876">
                  <c:v>0.3</c:v>
                </c:pt>
                <c:pt idx="877">
                  <c:v>0.1</c:v>
                </c:pt>
                <c:pt idx="878">
                  <c:v>0.15</c:v>
                </c:pt>
                <c:pt idx="879">
                  <c:v>0.3</c:v>
                </c:pt>
                <c:pt idx="880">
                  <c:v>0</c:v>
                </c:pt>
                <c:pt idx="881">
                  <c:v>0.25</c:v>
                </c:pt>
                <c:pt idx="882">
                  <c:v>0.1</c:v>
                </c:pt>
                <c:pt idx="883">
                  <c:v>0.3</c:v>
                </c:pt>
                <c:pt idx="884">
                  <c:v>0.25</c:v>
                </c:pt>
                <c:pt idx="885">
                  <c:v>0.1</c:v>
                </c:pt>
                <c:pt idx="886">
                  <c:v>0.1</c:v>
                </c:pt>
                <c:pt idx="887">
                  <c:v>0.25</c:v>
                </c:pt>
                <c:pt idx="888">
                  <c:v>0.05</c:v>
                </c:pt>
                <c:pt idx="889">
                  <c:v>0.3</c:v>
                </c:pt>
                <c:pt idx="890">
                  <c:v>0.05</c:v>
                </c:pt>
                <c:pt idx="891">
                  <c:v>0.05</c:v>
                </c:pt>
                <c:pt idx="892">
                  <c:v>0.25</c:v>
                </c:pt>
                <c:pt idx="893">
                  <c:v>0</c:v>
                </c:pt>
                <c:pt idx="894">
                  <c:v>0.3</c:v>
                </c:pt>
                <c:pt idx="895">
                  <c:v>0.15</c:v>
                </c:pt>
                <c:pt idx="896">
                  <c:v>0.1</c:v>
                </c:pt>
                <c:pt idx="897">
                  <c:v>0.3</c:v>
                </c:pt>
                <c:pt idx="898">
                  <c:v>0.15</c:v>
                </c:pt>
                <c:pt idx="899">
                  <c:v>0</c:v>
                </c:pt>
                <c:pt idx="900">
                  <c:v>0.25</c:v>
                </c:pt>
                <c:pt idx="901">
                  <c:v>0.05</c:v>
                </c:pt>
                <c:pt idx="902">
                  <c:v>0.1</c:v>
                </c:pt>
                <c:pt idx="903">
                  <c:v>0.05</c:v>
                </c:pt>
                <c:pt idx="904">
                  <c:v>0.3</c:v>
                </c:pt>
                <c:pt idx="905">
                  <c:v>0.3</c:v>
                </c:pt>
                <c:pt idx="906">
                  <c:v>0</c:v>
                </c:pt>
                <c:pt idx="907">
                  <c:v>0.1</c:v>
                </c:pt>
                <c:pt idx="908">
                  <c:v>0.15</c:v>
                </c:pt>
                <c:pt idx="909">
                  <c:v>0.05</c:v>
                </c:pt>
                <c:pt idx="910">
                  <c:v>0.25</c:v>
                </c:pt>
                <c:pt idx="911">
                  <c:v>0.15</c:v>
                </c:pt>
                <c:pt idx="912">
                  <c:v>0.05</c:v>
                </c:pt>
                <c:pt idx="913">
                  <c:v>0.2</c:v>
                </c:pt>
                <c:pt idx="914">
                  <c:v>0.05</c:v>
                </c:pt>
                <c:pt idx="915">
                  <c:v>0</c:v>
                </c:pt>
                <c:pt idx="916">
                  <c:v>0.1</c:v>
                </c:pt>
                <c:pt idx="917">
                  <c:v>0.05</c:v>
                </c:pt>
                <c:pt idx="918">
                  <c:v>0.2</c:v>
                </c:pt>
                <c:pt idx="919">
                  <c:v>0.05</c:v>
                </c:pt>
                <c:pt idx="920">
                  <c:v>0.25</c:v>
                </c:pt>
                <c:pt idx="921">
                  <c:v>0.2</c:v>
                </c:pt>
                <c:pt idx="922">
                  <c:v>0.3</c:v>
                </c:pt>
                <c:pt idx="923">
                  <c:v>0.3</c:v>
                </c:pt>
                <c:pt idx="924">
                  <c:v>0.3</c:v>
                </c:pt>
                <c:pt idx="925">
                  <c:v>0.3</c:v>
                </c:pt>
                <c:pt idx="926">
                  <c:v>0.05</c:v>
                </c:pt>
                <c:pt idx="927">
                  <c:v>0.15</c:v>
                </c:pt>
                <c:pt idx="928">
                  <c:v>0.15</c:v>
                </c:pt>
                <c:pt idx="929">
                  <c:v>0.15</c:v>
                </c:pt>
                <c:pt idx="930">
                  <c:v>0.25</c:v>
                </c:pt>
                <c:pt idx="931">
                  <c:v>0.2</c:v>
                </c:pt>
                <c:pt idx="932">
                  <c:v>0</c:v>
                </c:pt>
                <c:pt idx="933">
                  <c:v>0.1</c:v>
                </c:pt>
                <c:pt idx="934">
                  <c:v>0.15</c:v>
                </c:pt>
                <c:pt idx="935">
                  <c:v>0.3</c:v>
                </c:pt>
                <c:pt idx="936">
                  <c:v>0.15</c:v>
                </c:pt>
                <c:pt idx="937">
                  <c:v>0</c:v>
                </c:pt>
                <c:pt idx="938">
                  <c:v>0.05</c:v>
                </c:pt>
                <c:pt idx="939">
                  <c:v>0.3</c:v>
                </c:pt>
                <c:pt idx="940">
                  <c:v>0.2</c:v>
                </c:pt>
                <c:pt idx="941">
                  <c:v>0.2</c:v>
                </c:pt>
                <c:pt idx="942">
                  <c:v>0.2</c:v>
                </c:pt>
                <c:pt idx="943">
                  <c:v>0.2</c:v>
                </c:pt>
                <c:pt idx="944">
                  <c:v>0.15</c:v>
                </c:pt>
                <c:pt idx="945">
                  <c:v>0.3</c:v>
                </c:pt>
                <c:pt idx="946">
                  <c:v>0.05</c:v>
                </c:pt>
                <c:pt idx="947">
                  <c:v>0.05</c:v>
                </c:pt>
                <c:pt idx="948">
                  <c:v>0</c:v>
                </c:pt>
                <c:pt idx="949">
                  <c:v>0.1</c:v>
                </c:pt>
                <c:pt idx="950">
                  <c:v>0.2</c:v>
                </c:pt>
                <c:pt idx="951">
                  <c:v>0.2</c:v>
                </c:pt>
                <c:pt idx="952">
                  <c:v>0</c:v>
                </c:pt>
                <c:pt idx="953">
                  <c:v>0</c:v>
                </c:pt>
                <c:pt idx="954">
                  <c:v>0.05</c:v>
                </c:pt>
                <c:pt idx="955">
                  <c:v>0.15</c:v>
                </c:pt>
                <c:pt idx="956">
                  <c:v>0.2</c:v>
                </c:pt>
                <c:pt idx="957">
                  <c:v>0.05</c:v>
                </c:pt>
                <c:pt idx="958">
                  <c:v>0.2</c:v>
                </c:pt>
                <c:pt idx="959">
                  <c:v>0.25</c:v>
                </c:pt>
                <c:pt idx="960">
                  <c:v>0.15</c:v>
                </c:pt>
                <c:pt idx="961">
                  <c:v>0.2</c:v>
                </c:pt>
                <c:pt idx="962">
                  <c:v>0.15</c:v>
                </c:pt>
                <c:pt idx="963">
                  <c:v>0.1</c:v>
                </c:pt>
                <c:pt idx="964">
                  <c:v>0.05</c:v>
                </c:pt>
                <c:pt idx="965">
                  <c:v>0.15</c:v>
                </c:pt>
                <c:pt idx="966">
                  <c:v>0.15</c:v>
                </c:pt>
                <c:pt idx="967">
                  <c:v>0.15</c:v>
                </c:pt>
                <c:pt idx="968">
                  <c:v>0.05</c:v>
                </c:pt>
                <c:pt idx="969">
                  <c:v>0.3</c:v>
                </c:pt>
                <c:pt idx="970">
                  <c:v>0.25</c:v>
                </c:pt>
                <c:pt idx="971">
                  <c:v>0.3</c:v>
                </c:pt>
                <c:pt idx="972">
                  <c:v>0.1</c:v>
                </c:pt>
                <c:pt idx="973">
                  <c:v>0.3</c:v>
                </c:pt>
                <c:pt idx="974">
                  <c:v>0.2</c:v>
                </c:pt>
                <c:pt idx="975">
                  <c:v>0.15</c:v>
                </c:pt>
                <c:pt idx="976">
                  <c:v>0.15</c:v>
                </c:pt>
                <c:pt idx="977">
                  <c:v>0.2</c:v>
                </c:pt>
                <c:pt idx="978">
                  <c:v>0</c:v>
                </c:pt>
                <c:pt idx="979">
                  <c:v>0.3</c:v>
                </c:pt>
                <c:pt idx="980">
                  <c:v>0.1</c:v>
                </c:pt>
                <c:pt idx="981">
                  <c:v>0.1</c:v>
                </c:pt>
                <c:pt idx="982">
                  <c:v>0.1</c:v>
                </c:pt>
                <c:pt idx="983">
                  <c:v>0.15</c:v>
                </c:pt>
                <c:pt idx="984">
                  <c:v>0.25</c:v>
                </c:pt>
                <c:pt idx="985">
                  <c:v>0.3</c:v>
                </c:pt>
                <c:pt idx="986">
                  <c:v>0</c:v>
                </c:pt>
                <c:pt idx="987">
                  <c:v>0.05</c:v>
                </c:pt>
                <c:pt idx="988">
                  <c:v>0.25</c:v>
                </c:pt>
                <c:pt idx="989">
                  <c:v>0.1</c:v>
                </c:pt>
                <c:pt idx="990">
                  <c:v>0</c:v>
                </c:pt>
                <c:pt idx="991">
                  <c:v>0.15</c:v>
                </c:pt>
                <c:pt idx="992">
                  <c:v>0</c:v>
                </c:pt>
                <c:pt idx="993">
                  <c:v>0.1</c:v>
                </c:pt>
                <c:pt idx="994">
                  <c:v>0.15</c:v>
                </c:pt>
                <c:pt idx="995">
                  <c:v>0.1</c:v>
                </c:pt>
                <c:pt idx="996">
                  <c:v>0.2</c:v>
                </c:pt>
                <c:pt idx="997">
                  <c:v>0</c:v>
                </c:pt>
                <c:pt idx="998">
                  <c:v>0.2</c:v>
                </c:pt>
                <c:pt idx="999">
                  <c:v>0.15</c:v>
                </c:pt>
              </c:numCache>
            </c:numRef>
          </c:xVal>
          <c:yVal>
            <c:numRef>
              <c:f>SalesData!$L$2:$L$1001</c:f>
              <c:numCache>
                <c:formatCode>"₹"#,##0.00</c:formatCode>
                <c:ptCount val="1000"/>
                <c:pt idx="0">
                  <c:v>421.59</c:v>
                </c:pt>
                <c:pt idx="1">
                  <c:v>-161.72</c:v>
                </c:pt>
                <c:pt idx="2">
                  <c:v>356.91</c:v>
                </c:pt>
                <c:pt idx="3">
                  <c:v>-122.01</c:v>
                </c:pt>
                <c:pt idx="4">
                  <c:v>416.9</c:v>
                </c:pt>
                <c:pt idx="5">
                  <c:v>721.16</c:v>
                </c:pt>
                <c:pt idx="6">
                  <c:v>-457.71</c:v>
                </c:pt>
                <c:pt idx="7">
                  <c:v>-634.04</c:v>
                </c:pt>
                <c:pt idx="8">
                  <c:v>-23.27</c:v>
                </c:pt>
                <c:pt idx="9">
                  <c:v>145.56</c:v>
                </c:pt>
                <c:pt idx="10">
                  <c:v>175.1</c:v>
                </c:pt>
                <c:pt idx="11">
                  <c:v>117.9</c:v>
                </c:pt>
                <c:pt idx="12">
                  <c:v>1549.7</c:v>
                </c:pt>
                <c:pt idx="13">
                  <c:v>-758.03</c:v>
                </c:pt>
                <c:pt idx="14">
                  <c:v>1562.19</c:v>
                </c:pt>
                <c:pt idx="15">
                  <c:v>-1904.11</c:v>
                </c:pt>
                <c:pt idx="16">
                  <c:v>-816.01</c:v>
                </c:pt>
                <c:pt idx="17">
                  <c:v>206.77</c:v>
                </c:pt>
                <c:pt idx="18">
                  <c:v>404.54</c:v>
                </c:pt>
                <c:pt idx="19">
                  <c:v>-315.85000000000002</c:v>
                </c:pt>
                <c:pt idx="20">
                  <c:v>1494.8</c:v>
                </c:pt>
                <c:pt idx="21">
                  <c:v>66.61</c:v>
                </c:pt>
                <c:pt idx="22">
                  <c:v>-35.39</c:v>
                </c:pt>
                <c:pt idx="23">
                  <c:v>1494.43</c:v>
                </c:pt>
                <c:pt idx="24">
                  <c:v>156.16</c:v>
                </c:pt>
                <c:pt idx="25">
                  <c:v>505.07</c:v>
                </c:pt>
                <c:pt idx="26">
                  <c:v>260.37</c:v>
                </c:pt>
                <c:pt idx="27">
                  <c:v>242.56</c:v>
                </c:pt>
                <c:pt idx="28">
                  <c:v>240.81</c:v>
                </c:pt>
                <c:pt idx="29">
                  <c:v>320.13</c:v>
                </c:pt>
                <c:pt idx="30">
                  <c:v>-133.25</c:v>
                </c:pt>
                <c:pt idx="31">
                  <c:v>-374.38</c:v>
                </c:pt>
                <c:pt idx="32">
                  <c:v>143.15</c:v>
                </c:pt>
                <c:pt idx="33">
                  <c:v>422.8</c:v>
                </c:pt>
                <c:pt idx="34">
                  <c:v>419.74</c:v>
                </c:pt>
                <c:pt idx="35">
                  <c:v>151.36000000000001</c:v>
                </c:pt>
                <c:pt idx="36">
                  <c:v>74.28</c:v>
                </c:pt>
                <c:pt idx="37">
                  <c:v>123.67</c:v>
                </c:pt>
                <c:pt idx="38">
                  <c:v>-557.66999999999996</c:v>
                </c:pt>
                <c:pt idx="39">
                  <c:v>897.82</c:v>
                </c:pt>
                <c:pt idx="40">
                  <c:v>26.45</c:v>
                </c:pt>
                <c:pt idx="41">
                  <c:v>3114.24</c:v>
                </c:pt>
                <c:pt idx="42">
                  <c:v>77.02</c:v>
                </c:pt>
                <c:pt idx="43">
                  <c:v>128.31</c:v>
                </c:pt>
                <c:pt idx="44">
                  <c:v>2.4300000000000002</c:v>
                </c:pt>
                <c:pt idx="45">
                  <c:v>231.34</c:v>
                </c:pt>
                <c:pt idx="46">
                  <c:v>-287.81</c:v>
                </c:pt>
                <c:pt idx="47">
                  <c:v>437.68</c:v>
                </c:pt>
                <c:pt idx="48">
                  <c:v>254.75</c:v>
                </c:pt>
                <c:pt idx="49">
                  <c:v>12.24</c:v>
                </c:pt>
                <c:pt idx="50">
                  <c:v>21.45</c:v>
                </c:pt>
                <c:pt idx="51">
                  <c:v>161.21</c:v>
                </c:pt>
                <c:pt idx="52">
                  <c:v>-501.55</c:v>
                </c:pt>
                <c:pt idx="53">
                  <c:v>-535.28</c:v>
                </c:pt>
                <c:pt idx="54">
                  <c:v>-99.53</c:v>
                </c:pt>
                <c:pt idx="55">
                  <c:v>1054.78</c:v>
                </c:pt>
                <c:pt idx="56">
                  <c:v>33.47</c:v>
                </c:pt>
                <c:pt idx="57">
                  <c:v>-313.58999999999997</c:v>
                </c:pt>
                <c:pt idx="58">
                  <c:v>68.03</c:v>
                </c:pt>
                <c:pt idx="59">
                  <c:v>26.5</c:v>
                </c:pt>
                <c:pt idx="60">
                  <c:v>65.510000000000005</c:v>
                </c:pt>
                <c:pt idx="61">
                  <c:v>1513.48</c:v>
                </c:pt>
                <c:pt idx="62">
                  <c:v>-435.9</c:v>
                </c:pt>
                <c:pt idx="63">
                  <c:v>538.82000000000005</c:v>
                </c:pt>
                <c:pt idx="64">
                  <c:v>36.46</c:v>
                </c:pt>
                <c:pt idx="65">
                  <c:v>725.05</c:v>
                </c:pt>
                <c:pt idx="66">
                  <c:v>231.44</c:v>
                </c:pt>
                <c:pt idx="67">
                  <c:v>44.81</c:v>
                </c:pt>
                <c:pt idx="68">
                  <c:v>-195.73</c:v>
                </c:pt>
                <c:pt idx="69">
                  <c:v>-29.92</c:v>
                </c:pt>
                <c:pt idx="70">
                  <c:v>544.58000000000004</c:v>
                </c:pt>
                <c:pt idx="71">
                  <c:v>274.94</c:v>
                </c:pt>
                <c:pt idx="72">
                  <c:v>29.51</c:v>
                </c:pt>
                <c:pt idx="73">
                  <c:v>100.64</c:v>
                </c:pt>
                <c:pt idx="74">
                  <c:v>-72.510000000000005</c:v>
                </c:pt>
                <c:pt idx="75">
                  <c:v>225.66</c:v>
                </c:pt>
                <c:pt idx="76">
                  <c:v>-11.86</c:v>
                </c:pt>
                <c:pt idx="77">
                  <c:v>25.32</c:v>
                </c:pt>
                <c:pt idx="78">
                  <c:v>865.64</c:v>
                </c:pt>
                <c:pt idx="79">
                  <c:v>593.66999999999996</c:v>
                </c:pt>
                <c:pt idx="80">
                  <c:v>70.739999999999995</c:v>
                </c:pt>
                <c:pt idx="81">
                  <c:v>877.36</c:v>
                </c:pt>
                <c:pt idx="82">
                  <c:v>1798.58</c:v>
                </c:pt>
                <c:pt idx="83">
                  <c:v>2061.41</c:v>
                </c:pt>
                <c:pt idx="84">
                  <c:v>582.89</c:v>
                </c:pt>
                <c:pt idx="85">
                  <c:v>-122.43</c:v>
                </c:pt>
                <c:pt idx="86">
                  <c:v>-777.88</c:v>
                </c:pt>
                <c:pt idx="87">
                  <c:v>472.22</c:v>
                </c:pt>
                <c:pt idx="88">
                  <c:v>69.31</c:v>
                </c:pt>
                <c:pt idx="89">
                  <c:v>372.2</c:v>
                </c:pt>
                <c:pt idx="90">
                  <c:v>-136.4</c:v>
                </c:pt>
                <c:pt idx="91">
                  <c:v>118.14</c:v>
                </c:pt>
                <c:pt idx="92">
                  <c:v>31.54</c:v>
                </c:pt>
                <c:pt idx="93">
                  <c:v>-89.79</c:v>
                </c:pt>
                <c:pt idx="94">
                  <c:v>67.489999999999995</c:v>
                </c:pt>
                <c:pt idx="95">
                  <c:v>331.97</c:v>
                </c:pt>
                <c:pt idx="96">
                  <c:v>108.83</c:v>
                </c:pt>
                <c:pt idx="97">
                  <c:v>136.69999999999999</c:v>
                </c:pt>
                <c:pt idx="98">
                  <c:v>112.32</c:v>
                </c:pt>
                <c:pt idx="99">
                  <c:v>204.4</c:v>
                </c:pt>
                <c:pt idx="100">
                  <c:v>2115.63</c:v>
                </c:pt>
                <c:pt idx="101">
                  <c:v>-690.95</c:v>
                </c:pt>
                <c:pt idx="102">
                  <c:v>164.13</c:v>
                </c:pt>
                <c:pt idx="103">
                  <c:v>-111.31</c:v>
                </c:pt>
                <c:pt idx="104">
                  <c:v>286.58999999999997</c:v>
                </c:pt>
                <c:pt idx="105">
                  <c:v>479.9</c:v>
                </c:pt>
                <c:pt idx="106">
                  <c:v>114.73</c:v>
                </c:pt>
                <c:pt idx="107">
                  <c:v>4.68</c:v>
                </c:pt>
                <c:pt idx="108">
                  <c:v>-424.47</c:v>
                </c:pt>
                <c:pt idx="109">
                  <c:v>95.16</c:v>
                </c:pt>
                <c:pt idx="110">
                  <c:v>378.52</c:v>
                </c:pt>
                <c:pt idx="111">
                  <c:v>1438.99</c:v>
                </c:pt>
                <c:pt idx="112">
                  <c:v>164.59</c:v>
                </c:pt>
                <c:pt idx="113">
                  <c:v>846.82</c:v>
                </c:pt>
                <c:pt idx="114">
                  <c:v>155.55000000000001</c:v>
                </c:pt>
                <c:pt idx="115">
                  <c:v>1606.08</c:v>
                </c:pt>
                <c:pt idx="116">
                  <c:v>292.55</c:v>
                </c:pt>
                <c:pt idx="117">
                  <c:v>487.62</c:v>
                </c:pt>
                <c:pt idx="118">
                  <c:v>40.97</c:v>
                </c:pt>
                <c:pt idx="119">
                  <c:v>607.07000000000005</c:v>
                </c:pt>
                <c:pt idx="120">
                  <c:v>726.68</c:v>
                </c:pt>
                <c:pt idx="121">
                  <c:v>248.3</c:v>
                </c:pt>
                <c:pt idx="122">
                  <c:v>-236.61</c:v>
                </c:pt>
                <c:pt idx="123">
                  <c:v>428.01</c:v>
                </c:pt>
                <c:pt idx="124">
                  <c:v>98.56</c:v>
                </c:pt>
                <c:pt idx="125">
                  <c:v>198.23</c:v>
                </c:pt>
                <c:pt idx="126">
                  <c:v>186.44</c:v>
                </c:pt>
                <c:pt idx="127">
                  <c:v>100.02</c:v>
                </c:pt>
                <c:pt idx="128">
                  <c:v>-69.47</c:v>
                </c:pt>
                <c:pt idx="129">
                  <c:v>-466.39</c:v>
                </c:pt>
                <c:pt idx="130">
                  <c:v>-431.2</c:v>
                </c:pt>
                <c:pt idx="131">
                  <c:v>2534.31</c:v>
                </c:pt>
                <c:pt idx="132">
                  <c:v>181.17</c:v>
                </c:pt>
                <c:pt idx="133">
                  <c:v>155.86000000000001</c:v>
                </c:pt>
                <c:pt idx="134">
                  <c:v>-297.89999999999998</c:v>
                </c:pt>
                <c:pt idx="135">
                  <c:v>588.05999999999995</c:v>
                </c:pt>
                <c:pt idx="136">
                  <c:v>-27.08</c:v>
                </c:pt>
                <c:pt idx="137">
                  <c:v>43.11</c:v>
                </c:pt>
                <c:pt idx="138">
                  <c:v>527.72</c:v>
                </c:pt>
                <c:pt idx="139">
                  <c:v>62.78</c:v>
                </c:pt>
                <c:pt idx="140">
                  <c:v>619.04</c:v>
                </c:pt>
                <c:pt idx="141">
                  <c:v>-80.569999999999993</c:v>
                </c:pt>
                <c:pt idx="142">
                  <c:v>-82.11</c:v>
                </c:pt>
                <c:pt idx="143">
                  <c:v>1170.46</c:v>
                </c:pt>
                <c:pt idx="144">
                  <c:v>32.479999999999997</c:v>
                </c:pt>
                <c:pt idx="145">
                  <c:v>702.25</c:v>
                </c:pt>
                <c:pt idx="146">
                  <c:v>-81.53</c:v>
                </c:pt>
                <c:pt idx="147">
                  <c:v>260.75</c:v>
                </c:pt>
                <c:pt idx="148">
                  <c:v>-254.39</c:v>
                </c:pt>
                <c:pt idx="149">
                  <c:v>10.88</c:v>
                </c:pt>
                <c:pt idx="150">
                  <c:v>86.22</c:v>
                </c:pt>
                <c:pt idx="151">
                  <c:v>3932.76</c:v>
                </c:pt>
                <c:pt idx="152">
                  <c:v>693.4</c:v>
                </c:pt>
                <c:pt idx="153">
                  <c:v>219.49</c:v>
                </c:pt>
                <c:pt idx="154">
                  <c:v>3101.36</c:v>
                </c:pt>
                <c:pt idx="155">
                  <c:v>659.63</c:v>
                </c:pt>
                <c:pt idx="156">
                  <c:v>453.05</c:v>
                </c:pt>
                <c:pt idx="157">
                  <c:v>1913.54</c:v>
                </c:pt>
                <c:pt idx="158">
                  <c:v>8.56</c:v>
                </c:pt>
                <c:pt idx="159">
                  <c:v>105.83</c:v>
                </c:pt>
                <c:pt idx="160">
                  <c:v>1277.8</c:v>
                </c:pt>
                <c:pt idx="161">
                  <c:v>-168.83</c:v>
                </c:pt>
                <c:pt idx="162">
                  <c:v>544.54</c:v>
                </c:pt>
                <c:pt idx="163">
                  <c:v>28.57</c:v>
                </c:pt>
                <c:pt idx="164">
                  <c:v>1583.53</c:v>
                </c:pt>
                <c:pt idx="165">
                  <c:v>-345.02</c:v>
                </c:pt>
                <c:pt idx="166">
                  <c:v>674.62</c:v>
                </c:pt>
                <c:pt idx="167">
                  <c:v>236.69</c:v>
                </c:pt>
                <c:pt idx="168">
                  <c:v>614.41</c:v>
                </c:pt>
                <c:pt idx="169">
                  <c:v>47.51</c:v>
                </c:pt>
                <c:pt idx="170">
                  <c:v>-141.44999999999999</c:v>
                </c:pt>
                <c:pt idx="171">
                  <c:v>3382.16</c:v>
                </c:pt>
                <c:pt idx="172">
                  <c:v>386.4</c:v>
                </c:pt>
                <c:pt idx="173">
                  <c:v>2335.9699999999998</c:v>
                </c:pt>
                <c:pt idx="174">
                  <c:v>-176.91</c:v>
                </c:pt>
                <c:pt idx="175">
                  <c:v>-250.52</c:v>
                </c:pt>
                <c:pt idx="176">
                  <c:v>-165.64</c:v>
                </c:pt>
                <c:pt idx="177">
                  <c:v>-209.61</c:v>
                </c:pt>
                <c:pt idx="178">
                  <c:v>929.1</c:v>
                </c:pt>
                <c:pt idx="179">
                  <c:v>-620.64</c:v>
                </c:pt>
                <c:pt idx="180">
                  <c:v>1023.16</c:v>
                </c:pt>
                <c:pt idx="181">
                  <c:v>27.86</c:v>
                </c:pt>
                <c:pt idx="182">
                  <c:v>1420.47</c:v>
                </c:pt>
                <c:pt idx="183">
                  <c:v>531.36</c:v>
                </c:pt>
                <c:pt idx="184">
                  <c:v>112.66</c:v>
                </c:pt>
                <c:pt idx="185">
                  <c:v>-1121.1300000000001</c:v>
                </c:pt>
                <c:pt idx="186">
                  <c:v>-1208.1600000000001</c:v>
                </c:pt>
                <c:pt idx="187">
                  <c:v>-80.930000000000007</c:v>
                </c:pt>
                <c:pt idx="188">
                  <c:v>668.07</c:v>
                </c:pt>
                <c:pt idx="189">
                  <c:v>668.52</c:v>
                </c:pt>
                <c:pt idx="190">
                  <c:v>1619.83</c:v>
                </c:pt>
                <c:pt idx="191">
                  <c:v>405.97</c:v>
                </c:pt>
                <c:pt idx="192">
                  <c:v>772.79</c:v>
                </c:pt>
                <c:pt idx="193">
                  <c:v>1304.29</c:v>
                </c:pt>
                <c:pt idx="194">
                  <c:v>46.92</c:v>
                </c:pt>
                <c:pt idx="195">
                  <c:v>-97.91</c:v>
                </c:pt>
                <c:pt idx="196">
                  <c:v>-1022.6</c:v>
                </c:pt>
                <c:pt idx="197">
                  <c:v>83.4</c:v>
                </c:pt>
                <c:pt idx="198">
                  <c:v>-211.67</c:v>
                </c:pt>
                <c:pt idx="199">
                  <c:v>362.96</c:v>
                </c:pt>
                <c:pt idx="200">
                  <c:v>185.05</c:v>
                </c:pt>
                <c:pt idx="201">
                  <c:v>2072.31</c:v>
                </c:pt>
                <c:pt idx="202">
                  <c:v>-44.37</c:v>
                </c:pt>
                <c:pt idx="203">
                  <c:v>75.069999999999993</c:v>
                </c:pt>
                <c:pt idx="204">
                  <c:v>-1112.45</c:v>
                </c:pt>
                <c:pt idx="205">
                  <c:v>18.86</c:v>
                </c:pt>
                <c:pt idx="206">
                  <c:v>142.78</c:v>
                </c:pt>
                <c:pt idx="207">
                  <c:v>-3.1</c:v>
                </c:pt>
                <c:pt idx="208">
                  <c:v>852.14</c:v>
                </c:pt>
                <c:pt idx="209">
                  <c:v>509.53</c:v>
                </c:pt>
                <c:pt idx="210">
                  <c:v>872.82</c:v>
                </c:pt>
                <c:pt idx="211">
                  <c:v>85.12</c:v>
                </c:pt>
                <c:pt idx="212">
                  <c:v>-8.39</c:v>
                </c:pt>
                <c:pt idx="213">
                  <c:v>95.63</c:v>
                </c:pt>
                <c:pt idx="214">
                  <c:v>352.36</c:v>
                </c:pt>
                <c:pt idx="215">
                  <c:v>-178.09</c:v>
                </c:pt>
                <c:pt idx="216">
                  <c:v>48.55</c:v>
                </c:pt>
                <c:pt idx="217">
                  <c:v>-362.53</c:v>
                </c:pt>
                <c:pt idx="218">
                  <c:v>555.32000000000005</c:v>
                </c:pt>
                <c:pt idx="219">
                  <c:v>656.2</c:v>
                </c:pt>
                <c:pt idx="220">
                  <c:v>1890.59</c:v>
                </c:pt>
                <c:pt idx="221">
                  <c:v>100.75</c:v>
                </c:pt>
                <c:pt idx="222">
                  <c:v>826.72</c:v>
                </c:pt>
                <c:pt idx="223">
                  <c:v>113.67</c:v>
                </c:pt>
                <c:pt idx="224">
                  <c:v>200.65</c:v>
                </c:pt>
                <c:pt idx="225">
                  <c:v>-505.42</c:v>
                </c:pt>
                <c:pt idx="226">
                  <c:v>201.68</c:v>
                </c:pt>
                <c:pt idx="227">
                  <c:v>427.19</c:v>
                </c:pt>
                <c:pt idx="228">
                  <c:v>213.13</c:v>
                </c:pt>
                <c:pt idx="229">
                  <c:v>180.72</c:v>
                </c:pt>
                <c:pt idx="230">
                  <c:v>561.76</c:v>
                </c:pt>
                <c:pt idx="231">
                  <c:v>103.14</c:v>
                </c:pt>
                <c:pt idx="232">
                  <c:v>71.62</c:v>
                </c:pt>
                <c:pt idx="233">
                  <c:v>-373.99</c:v>
                </c:pt>
                <c:pt idx="234">
                  <c:v>-6.47</c:v>
                </c:pt>
                <c:pt idx="235">
                  <c:v>266.76</c:v>
                </c:pt>
                <c:pt idx="236">
                  <c:v>-85.62</c:v>
                </c:pt>
                <c:pt idx="237">
                  <c:v>148.38</c:v>
                </c:pt>
                <c:pt idx="238">
                  <c:v>1076.1199999999999</c:v>
                </c:pt>
                <c:pt idx="239">
                  <c:v>15.55</c:v>
                </c:pt>
                <c:pt idx="240">
                  <c:v>107.63</c:v>
                </c:pt>
                <c:pt idx="241">
                  <c:v>265.93</c:v>
                </c:pt>
                <c:pt idx="242">
                  <c:v>872.03</c:v>
                </c:pt>
                <c:pt idx="243">
                  <c:v>289.19</c:v>
                </c:pt>
                <c:pt idx="244">
                  <c:v>38.020000000000003</c:v>
                </c:pt>
                <c:pt idx="245">
                  <c:v>109.82</c:v>
                </c:pt>
                <c:pt idx="246">
                  <c:v>-103.91</c:v>
                </c:pt>
                <c:pt idx="247">
                  <c:v>2181.09</c:v>
                </c:pt>
                <c:pt idx="248">
                  <c:v>-598.41999999999996</c:v>
                </c:pt>
                <c:pt idx="249">
                  <c:v>696.57</c:v>
                </c:pt>
                <c:pt idx="250">
                  <c:v>829.81</c:v>
                </c:pt>
                <c:pt idx="251">
                  <c:v>1289.29</c:v>
                </c:pt>
                <c:pt idx="252">
                  <c:v>440.77</c:v>
                </c:pt>
                <c:pt idx="253">
                  <c:v>1783.91</c:v>
                </c:pt>
                <c:pt idx="254">
                  <c:v>1213</c:v>
                </c:pt>
                <c:pt idx="255">
                  <c:v>31.85</c:v>
                </c:pt>
                <c:pt idx="256">
                  <c:v>774.42</c:v>
                </c:pt>
                <c:pt idx="257">
                  <c:v>87.02</c:v>
                </c:pt>
                <c:pt idx="258">
                  <c:v>530.70000000000005</c:v>
                </c:pt>
                <c:pt idx="259">
                  <c:v>96.93</c:v>
                </c:pt>
                <c:pt idx="260">
                  <c:v>638.41999999999996</c:v>
                </c:pt>
                <c:pt idx="261">
                  <c:v>-123.84</c:v>
                </c:pt>
                <c:pt idx="262">
                  <c:v>176.34</c:v>
                </c:pt>
                <c:pt idx="263">
                  <c:v>534.28</c:v>
                </c:pt>
                <c:pt idx="264">
                  <c:v>-27.72</c:v>
                </c:pt>
                <c:pt idx="265">
                  <c:v>30.03</c:v>
                </c:pt>
                <c:pt idx="266">
                  <c:v>330.33</c:v>
                </c:pt>
                <c:pt idx="267">
                  <c:v>1975.88</c:v>
                </c:pt>
                <c:pt idx="268">
                  <c:v>614.54</c:v>
                </c:pt>
                <c:pt idx="269">
                  <c:v>-115.81</c:v>
                </c:pt>
                <c:pt idx="270">
                  <c:v>384.87</c:v>
                </c:pt>
                <c:pt idx="271">
                  <c:v>4.68</c:v>
                </c:pt>
                <c:pt idx="272">
                  <c:v>9.51</c:v>
                </c:pt>
                <c:pt idx="273">
                  <c:v>-141.18</c:v>
                </c:pt>
                <c:pt idx="274">
                  <c:v>293</c:v>
                </c:pt>
                <c:pt idx="275">
                  <c:v>103.91</c:v>
                </c:pt>
                <c:pt idx="276">
                  <c:v>3432.98</c:v>
                </c:pt>
                <c:pt idx="277">
                  <c:v>1660.22</c:v>
                </c:pt>
                <c:pt idx="278">
                  <c:v>507.36</c:v>
                </c:pt>
                <c:pt idx="279">
                  <c:v>516.94000000000005</c:v>
                </c:pt>
                <c:pt idx="280">
                  <c:v>790.12</c:v>
                </c:pt>
                <c:pt idx="281">
                  <c:v>-171.13</c:v>
                </c:pt>
                <c:pt idx="282">
                  <c:v>-984.2</c:v>
                </c:pt>
                <c:pt idx="283">
                  <c:v>-227.11</c:v>
                </c:pt>
                <c:pt idx="284">
                  <c:v>-37.54</c:v>
                </c:pt>
                <c:pt idx="285">
                  <c:v>-314.5</c:v>
                </c:pt>
                <c:pt idx="286">
                  <c:v>191.63</c:v>
                </c:pt>
                <c:pt idx="287">
                  <c:v>-774.81</c:v>
                </c:pt>
                <c:pt idx="288">
                  <c:v>610.91</c:v>
                </c:pt>
                <c:pt idx="289">
                  <c:v>73.430000000000007</c:v>
                </c:pt>
                <c:pt idx="290">
                  <c:v>-1.83</c:v>
                </c:pt>
                <c:pt idx="291">
                  <c:v>-157.91999999999999</c:v>
                </c:pt>
                <c:pt idx="292">
                  <c:v>-148.79</c:v>
                </c:pt>
                <c:pt idx="293">
                  <c:v>1603.6</c:v>
                </c:pt>
                <c:pt idx="294">
                  <c:v>-41.73</c:v>
                </c:pt>
                <c:pt idx="295">
                  <c:v>58.46</c:v>
                </c:pt>
                <c:pt idx="296">
                  <c:v>-14.15</c:v>
                </c:pt>
                <c:pt idx="297">
                  <c:v>56.54</c:v>
                </c:pt>
                <c:pt idx="298">
                  <c:v>734.31</c:v>
                </c:pt>
                <c:pt idx="299">
                  <c:v>821.47</c:v>
                </c:pt>
                <c:pt idx="300">
                  <c:v>-17.29</c:v>
                </c:pt>
                <c:pt idx="301">
                  <c:v>44.87</c:v>
                </c:pt>
                <c:pt idx="302">
                  <c:v>-8.16</c:v>
                </c:pt>
                <c:pt idx="303">
                  <c:v>-138.38</c:v>
                </c:pt>
                <c:pt idx="304">
                  <c:v>-100.09</c:v>
                </c:pt>
                <c:pt idx="305">
                  <c:v>1155.19</c:v>
                </c:pt>
                <c:pt idx="306">
                  <c:v>53.7</c:v>
                </c:pt>
                <c:pt idx="307">
                  <c:v>2028.38</c:v>
                </c:pt>
                <c:pt idx="308">
                  <c:v>167.48</c:v>
                </c:pt>
                <c:pt idx="309">
                  <c:v>178.59</c:v>
                </c:pt>
                <c:pt idx="310">
                  <c:v>430.54</c:v>
                </c:pt>
                <c:pt idx="311">
                  <c:v>-221.21</c:v>
                </c:pt>
                <c:pt idx="312">
                  <c:v>159.77000000000001</c:v>
                </c:pt>
                <c:pt idx="313">
                  <c:v>563.44000000000005</c:v>
                </c:pt>
                <c:pt idx="314">
                  <c:v>294.66000000000003</c:v>
                </c:pt>
                <c:pt idx="315">
                  <c:v>247.56</c:v>
                </c:pt>
                <c:pt idx="316">
                  <c:v>261.02999999999997</c:v>
                </c:pt>
                <c:pt idx="317">
                  <c:v>2152.0700000000002</c:v>
                </c:pt>
                <c:pt idx="318">
                  <c:v>122.63</c:v>
                </c:pt>
                <c:pt idx="319">
                  <c:v>581.89</c:v>
                </c:pt>
                <c:pt idx="320">
                  <c:v>20.190000000000001</c:v>
                </c:pt>
                <c:pt idx="321">
                  <c:v>349.86</c:v>
                </c:pt>
                <c:pt idx="322">
                  <c:v>102.6</c:v>
                </c:pt>
                <c:pt idx="323">
                  <c:v>911.78</c:v>
                </c:pt>
                <c:pt idx="324">
                  <c:v>1096.19</c:v>
                </c:pt>
                <c:pt idx="325">
                  <c:v>-94.49</c:v>
                </c:pt>
                <c:pt idx="326">
                  <c:v>5.98</c:v>
                </c:pt>
                <c:pt idx="327">
                  <c:v>-184.21</c:v>
                </c:pt>
                <c:pt idx="328">
                  <c:v>-1095.72</c:v>
                </c:pt>
                <c:pt idx="329">
                  <c:v>-0.08</c:v>
                </c:pt>
                <c:pt idx="330">
                  <c:v>22.34</c:v>
                </c:pt>
                <c:pt idx="331">
                  <c:v>-208.05</c:v>
                </c:pt>
                <c:pt idx="332">
                  <c:v>401.47</c:v>
                </c:pt>
                <c:pt idx="333">
                  <c:v>1267.9100000000001</c:v>
                </c:pt>
                <c:pt idx="334">
                  <c:v>64.430000000000007</c:v>
                </c:pt>
                <c:pt idx="335">
                  <c:v>3253.1</c:v>
                </c:pt>
                <c:pt idx="336">
                  <c:v>-1953.84</c:v>
                </c:pt>
                <c:pt idx="337">
                  <c:v>874.13</c:v>
                </c:pt>
                <c:pt idx="338">
                  <c:v>161.53</c:v>
                </c:pt>
                <c:pt idx="339">
                  <c:v>50.32</c:v>
                </c:pt>
                <c:pt idx="340">
                  <c:v>-292.88</c:v>
                </c:pt>
                <c:pt idx="341">
                  <c:v>171.25</c:v>
                </c:pt>
                <c:pt idx="342">
                  <c:v>3596.88</c:v>
                </c:pt>
                <c:pt idx="343">
                  <c:v>175.47</c:v>
                </c:pt>
                <c:pt idx="344">
                  <c:v>118.29</c:v>
                </c:pt>
                <c:pt idx="345">
                  <c:v>-442.27</c:v>
                </c:pt>
                <c:pt idx="346">
                  <c:v>-9.0500000000000007</c:v>
                </c:pt>
                <c:pt idx="347">
                  <c:v>261.37</c:v>
                </c:pt>
                <c:pt idx="348">
                  <c:v>89.12</c:v>
                </c:pt>
                <c:pt idx="349">
                  <c:v>83.55</c:v>
                </c:pt>
                <c:pt idx="350">
                  <c:v>253.33</c:v>
                </c:pt>
                <c:pt idx="351">
                  <c:v>467.87</c:v>
                </c:pt>
                <c:pt idx="352">
                  <c:v>-745.53</c:v>
                </c:pt>
                <c:pt idx="353">
                  <c:v>79.849999999999994</c:v>
                </c:pt>
                <c:pt idx="354">
                  <c:v>-132.01</c:v>
                </c:pt>
                <c:pt idx="355">
                  <c:v>-2233.0700000000002</c:v>
                </c:pt>
                <c:pt idx="356">
                  <c:v>549.61</c:v>
                </c:pt>
                <c:pt idx="357">
                  <c:v>-106.38</c:v>
                </c:pt>
                <c:pt idx="358">
                  <c:v>43.34</c:v>
                </c:pt>
                <c:pt idx="359">
                  <c:v>80.41</c:v>
                </c:pt>
                <c:pt idx="360">
                  <c:v>-60.36</c:v>
                </c:pt>
                <c:pt idx="361">
                  <c:v>-766.16</c:v>
                </c:pt>
                <c:pt idx="362">
                  <c:v>32.72</c:v>
                </c:pt>
                <c:pt idx="363">
                  <c:v>236.39</c:v>
                </c:pt>
                <c:pt idx="364">
                  <c:v>812.06</c:v>
                </c:pt>
                <c:pt idx="365">
                  <c:v>888.98</c:v>
                </c:pt>
                <c:pt idx="366">
                  <c:v>585.01</c:v>
                </c:pt>
                <c:pt idx="367">
                  <c:v>-200.76</c:v>
                </c:pt>
                <c:pt idx="368">
                  <c:v>57.34</c:v>
                </c:pt>
                <c:pt idx="369">
                  <c:v>5.17</c:v>
                </c:pt>
                <c:pt idx="370">
                  <c:v>-33.33</c:v>
                </c:pt>
                <c:pt idx="371">
                  <c:v>-127.78</c:v>
                </c:pt>
                <c:pt idx="372">
                  <c:v>31.01</c:v>
                </c:pt>
                <c:pt idx="373">
                  <c:v>-892.64</c:v>
                </c:pt>
                <c:pt idx="374">
                  <c:v>-699.89</c:v>
                </c:pt>
                <c:pt idx="375">
                  <c:v>166.03</c:v>
                </c:pt>
                <c:pt idx="376">
                  <c:v>327.16000000000003</c:v>
                </c:pt>
                <c:pt idx="377">
                  <c:v>1452.52</c:v>
                </c:pt>
                <c:pt idx="378">
                  <c:v>3838.14</c:v>
                </c:pt>
                <c:pt idx="379">
                  <c:v>545.95000000000005</c:v>
                </c:pt>
                <c:pt idx="380">
                  <c:v>242.95</c:v>
                </c:pt>
                <c:pt idx="381">
                  <c:v>3551.09</c:v>
                </c:pt>
                <c:pt idx="382">
                  <c:v>435.24</c:v>
                </c:pt>
                <c:pt idx="383">
                  <c:v>92.4</c:v>
                </c:pt>
                <c:pt idx="384">
                  <c:v>-46.51</c:v>
                </c:pt>
                <c:pt idx="385">
                  <c:v>320.45</c:v>
                </c:pt>
                <c:pt idx="386">
                  <c:v>-311.02</c:v>
                </c:pt>
                <c:pt idx="387">
                  <c:v>314.04000000000002</c:v>
                </c:pt>
                <c:pt idx="388">
                  <c:v>1120.08</c:v>
                </c:pt>
                <c:pt idx="389">
                  <c:v>10.35</c:v>
                </c:pt>
                <c:pt idx="390">
                  <c:v>650.94000000000005</c:v>
                </c:pt>
                <c:pt idx="391">
                  <c:v>412</c:v>
                </c:pt>
                <c:pt idx="392">
                  <c:v>-428.53</c:v>
                </c:pt>
                <c:pt idx="393">
                  <c:v>-360.36</c:v>
                </c:pt>
                <c:pt idx="394">
                  <c:v>260.58</c:v>
                </c:pt>
                <c:pt idx="395">
                  <c:v>94.83</c:v>
                </c:pt>
                <c:pt idx="396">
                  <c:v>1310.92</c:v>
                </c:pt>
                <c:pt idx="397">
                  <c:v>1113.92</c:v>
                </c:pt>
                <c:pt idx="398">
                  <c:v>512.65</c:v>
                </c:pt>
                <c:pt idx="399">
                  <c:v>753.71</c:v>
                </c:pt>
                <c:pt idx="400">
                  <c:v>165.97</c:v>
                </c:pt>
                <c:pt idx="401">
                  <c:v>804.4</c:v>
                </c:pt>
                <c:pt idx="402">
                  <c:v>-154.34</c:v>
                </c:pt>
                <c:pt idx="403">
                  <c:v>263.99</c:v>
                </c:pt>
                <c:pt idx="404">
                  <c:v>1084.24</c:v>
                </c:pt>
                <c:pt idx="405">
                  <c:v>400.92</c:v>
                </c:pt>
                <c:pt idx="406">
                  <c:v>-36.07</c:v>
                </c:pt>
                <c:pt idx="407">
                  <c:v>-253.87</c:v>
                </c:pt>
                <c:pt idx="408">
                  <c:v>-31.49</c:v>
                </c:pt>
                <c:pt idx="409">
                  <c:v>4.16</c:v>
                </c:pt>
                <c:pt idx="410">
                  <c:v>482.88</c:v>
                </c:pt>
                <c:pt idx="411">
                  <c:v>-43.28</c:v>
                </c:pt>
                <c:pt idx="412">
                  <c:v>322.81</c:v>
                </c:pt>
                <c:pt idx="413">
                  <c:v>-149.37</c:v>
                </c:pt>
                <c:pt idx="414">
                  <c:v>74.569999999999993</c:v>
                </c:pt>
                <c:pt idx="415">
                  <c:v>1040.3800000000001</c:v>
                </c:pt>
                <c:pt idx="416">
                  <c:v>123.53</c:v>
                </c:pt>
                <c:pt idx="417">
                  <c:v>38.76</c:v>
                </c:pt>
                <c:pt idx="418">
                  <c:v>625.72</c:v>
                </c:pt>
                <c:pt idx="419">
                  <c:v>261.64999999999998</c:v>
                </c:pt>
                <c:pt idx="420">
                  <c:v>36.44</c:v>
                </c:pt>
                <c:pt idx="421">
                  <c:v>1605.49</c:v>
                </c:pt>
                <c:pt idx="422">
                  <c:v>649.99</c:v>
                </c:pt>
                <c:pt idx="423">
                  <c:v>43.11</c:v>
                </c:pt>
                <c:pt idx="424">
                  <c:v>1824.67</c:v>
                </c:pt>
                <c:pt idx="425">
                  <c:v>52.99</c:v>
                </c:pt>
                <c:pt idx="426">
                  <c:v>466.51</c:v>
                </c:pt>
                <c:pt idx="427">
                  <c:v>736.8</c:v>
                </c:pt>
                <c:pt idx="428">
                  <c:v>175.7</c:v>
                </c:pt>
                <c:pt idx="429">
                  <c:v>844.44</c:v>
                </c:pt>
                <c:pt idx="430">
                  <c:v>85.72</c:v>
                </c:pt>
                <c:pt idx="431">
                  <c:v>44.9</c:v>
                </c:pt>
                <c:pt idx="432">
                  <c:v>1220.96</c:v>
                </c:pt>
                <c:pt idx="433">
                  <c:v>11.62</c:v>
                </c:pt>
                <c:pt idx="434">
                  <c:v>-12.82</c:v>
                </c:pt>
                <c:pt idx="435">
                  <c:v>418.07</c:v>
                </c:pt>
                <c:pt idx="436">
                  <c:v>1847.76</c:v>
                </c:pt>
                <c:pt idx="437">
                  <c:v>310.10000000000002</c:v>
                </c:pt>
                <c:pt idx="438">
                  <c:v>487.61</c:v>
                </c:pt>
                <c:pt idx="439">
                  <c:v>5.72</c:v>
                </c:pt>
                <c:pt idx="440">
                  <c:v>-219.81</c:v>
                </c:pt>
                <c:pt idx="441">
                  <c:v>1406.57</c:v>
                </c:pt>
                <c:pt idx="442">
                  <c:v>67.08</c:v>
                </c:pt>
                <c:pt idx="443">
                  <c:v>320.10000000000002</c:v>
                </c:pt>
                <c:pt idx="444">
                  <c:v>193.35</c:v>
                </c:pt>
                <c:pt idx="445">
                  <c:v>671.25</c:v>
                </c:pt>
                <c:pt idx="446">
                  <c:v>821.47</c:v>
                </c:pt>
                <c:pt idx="447">
                  <c:v>312.87</c:v>
                </c:pt>
                <c:pt idx="448">
                  <c:v>-62.15</c:v>
                </c:pt>
                <c:pt idx="449">
                  <c:v>572.66999999999996</c:v>
                </c:pt>
                <c:pt idx="450">
                  <c:v>1672.78</c:v>
                </c:pt>
                <c:pt idx="451">
                  <c:v>1428.36</c:v>
                </c:pt>
                <c:pt idx="452">
                  <c:v>1377.81</c:v>
                </c:pt>
                <c:pt idx="453">
                  <c:v>368.3</c:v>
                </c:pt>
                <c:pt idx="454">
                  <c:v>-142.01</c:v>
                </c:pt>
                <c:pt idx="455">
                  <c:v>521.28</c:v>
                </c:pt>
                <c:pt idx="456">
                  <c:v>8.93</c:v>
                </c:pt>
                <c:pt idx="457">
                  <c:v>92.36</c:v>
                </c:pt>
                <c:pt idx="458">
                  <c:v>-124.84</c:v>
                </c:pt>
                <c:pt idx="459">
                  <c:v>650.58000000000004</c:v>
                </c:pt>
                <c:pt idx="460">
                  <c:v>391.04</c:v>
                </c:pt>
                <c:pt idx="461">
                  <c:v>140.46</c:v>
                </c:pt>
                <c:pt idx="462">
                  <c:v>1116.51</c:v>
                </c:pt>
                <c:pt idx="463">
                  <c:v>1110.8900000000001</c:v>
                </c:pt>
                <c:pt idx="464">
                  <c:v>53.99</c:v>
                </c:pt>
                <c:pt idx="465">
                  <c:v>983.16</c:v>
                </c:pt>
                <c:pt idx="466">
                  <c:v>166.57</c:v>
                </c:pt>
                <c:pt idx="467">
                  <c:v>333.35</c:v>
                </c:pt>
                <c:pt idx="468">
                  <c:v>-21.26</c:v>
                </c:pt>
                <c:pt idx="469">
                  <c:v>103.06</c:v>
                </c:pt>
                <c:pt idx="470">
                  <c:v>1647.86</c:v>
                </c:pt>
                <c:pt idx="471">
                  <c:v>81.94</c:v>
                </c:pt>
                <c:pt idx="472">
                  <c:v>1564.09</c:v>
                </c:pt>
                <c:pt idx="473">
                  <c:v>381.51</c:v>
                </c:pt>
                <c:pt idx="474">
                  <c:v>59.81</c:v>
                </c:pt>
                <c:pt idx="475">
                  <c:v>-102.92</c:v>
                </c:pt>
                <c:pt idx="476">
                  <c:v>-33.39</c:v>
                </c:pt>
                <c:pt idx="477">
                  <c:v>-69.84</c:v>
                </c:pt>
                <c:pt idx="478">
                  <c:v>-469.45</c:v>
                </c:pt>
                <c:pt idx="479">
                  <c:v>58.03</c:v>
                </c:pt>
                <c:pt idx="480">
                  <c:v>140.53</c:v>
                </c:pt>
                <c:pt idx="481">
                  <c:v>370.12</c:v>
                </c:pt>
                <c:pt idx="482">
                  <c:v>1137.3699999999999</c:v>
                </c:pt>
                <c:pt idx="483">
                  <c:v>2258.39</c:v>
                </c:pt>
                <c:pt idx="484">
                  <c:v>95.36</c:v>
                </c:pt>
                <c:pt idx="485">
                  <c:v>273.51</c:v>
                </c:pt>
                <c:pt idx="486">
                  <c:v>395.89</c:v>
                </c:pt>
                <c:pt idx="487">
                  <c:v>2.0299999999999998</c:v>
                </c:pt>
                <c:pt idx="488">
                  <c:v>-435.35</c:v>
                </c:pt>
                <c:pt idx="489">
                  <c:v>-76.069999999999993</c:v>
                </c:pt>
                <c:pt idx="490">
                  <c:v>118.43</c:v>
                </c:pt>
                <c:pt idx="491">
                  <c:v>481.21</c:v>
                </c:pt>
                <c:pt idx="492">
                  <c:v>530.76</c:v>
                </c:pt>
                <c:pt idx="493">
                  <c:v>272</c:v>
                </c:pt>
                <c:pt idx="494">
                  <c:v>-171.97</c:v>
                </c:pt>
                <c:pt idx="495">
                  <c:v>224.35</c:v>
                </c:pt>
                <c:pt idx="496">
                  <c:v>52.34</c:v>
                </c:pt>
                <c:pt idx="497">
                  <c:v>-445.34</c:v>
                </c:pt>
                <c:pt idx="498">
                  <c:v>427.34</c:v>
                </c:pt>
                <c:pt idx="499">
                  <c:v>107.96</c:v>
                </c:pt>
                <c:pt idx="500">
                  <c:v>58.21</c:v>
                </c:pt>
                <c:pt idx="501">
                  <c:v>680.39</c:v>
                </c:pt>
                <c:pt idx="502">
                  <c:v>241.67</c:v>
                </c:pt>
                <c:pt idx="503">
                  <c:v>-120.02</c:v>
                </c:pt>
                <c:pt idx="504">
                  <c:v>-4.24</c:v>
                </c:pt>
                <c:pt idx="505">
                  <c:v>133.78</c:v>
                </c:pt>
                <c:pt idx="506">
                  <c:v>361.14</c:v>
                </c:pt>
                <c:pt idx="507">
                  <c:v>1409.16</c:v>
                </c:pt>
                <c:pt idx="508">
                  <c:v>-11.54</c:v>
                </c:pt>
                <c:pt idx="509">
                  <c:v>-20.239999999999998</c:v>
                </c:pt>
                <c:pt idx="510">
                  <c:v>1707.36</c:v>
                </c:pt>
                <c:pt idx="511">
                  <c:v>-363.35</c:v>
                </c:pt>
                <c:pt idx="512">
                  <c:v>-20.260000000000002</c:v>
                </c:pt>
                <c:pt idx="513">
                  <c:v>2876.41</c:v>
                </c:pt>
                <c:pt idx="514">
                  <c:v>81.790000000000006</c:v>
                </c:pt>
                <c:pt idx="515">
                  <c:v>-1000.38</c:v>
                </c:pt>
                <c:pt idx="516">
                  <c:v>1138.44</c:v>
                </c:pt>
                <c:pt idx="517">
                  <c:v>-76.14</c:v>
                </c:pt>
                <c:pt idx="518">
                  <c:v>669.24</c:v>
                </c:pt>
                <c:pt idx="519">
                  <c:v>-236.15</c:v>
                </c:pt>
                <c:pt idx="520">
                  <c:v>-150.43</c:v>
                </c:pt>
                <c:pt idx="521">
                  <c:v>150.80000000000001</c:v>
                </c:pt>
                <c:pt idx="522">
                  <c:v>1135.56</c:v>
                </c:pt>
                <c:pt idx="523">
                  <c:v>330.96</c:v>
                </c:pt>
                <c:pt idx="524">
                  <c:v>159.13999999999999</c:v>
                </c:pt>
                <c:pt idx="525">
                  <c:v>478.37</c:v>
                </c:pt>
                <c:pt idx="526">
                  <c:v>719.03</c:v>
                </c:pt>
                <c:pt idx="527">
                  <c:v>-57.58</c:v>
                </c:pt>
                <c:pt idx="528">
                  <c:v>-281.49</c:v>
                </c:pt>
                <c:pt idx="529">
                  <c:v>1818.2</c:v>
                </c:pt>
                <c:pt idx="530">
                  <c:v>67.45</c:v>
                </c:pt>
                <c:pt idx="531">
                  <c:v>729.08</c:v>
                </c:pt>
                <c:pt idx="532">
                  <c:v>262.14</c:v>
                </c:pt>
                <c:pt idx="533">
                  <c:v>-370.84</c:v>
                </c:pt>
                <c:pt idx="534">
                  <c:v>285.85000000000002</c:v>
                </c:pt>
                <c:pt idx="535">
                  <c:v>872.82</c:v>
                </c:pt>
                <c:pt idx="536">
                  <c:v>524.84</c:v>
                </c:pt>
                <c:pt idx="537">
                  <c:v>218.13</c:v>
                </c:pt>
                <c:pt idx="538">
                  <c:v>105.07</c:v>
                </c:pt>
                <c:pt idx="539">
                  <c:v>-501.77</c:v>
                </c:pt>
                <c:pt idx="540">
                  <c:v>-203.53</c:v>
                </c:pt>
                <c:pt idx="541">
                  <c:v>1409.88</c:v>
                </c:pt>
                <c:pt idx="542">
                  <c:v>-60.34</c:v>
                </c:pt>
                <c:pt idx="543">
                  <c:v>17.14</c:v>
                </c:pt>
                <c:pt idx="544">
                  <c:v>1095.27</c:v>
                </c:pt>
                <c:pt idx="545">
                  <c:v>-330.67</c:v>
                </c:pt>
                <c:pt idx="546">
                  <c:v>470.38</c:v>
                </c:pt>
                <c:pt idx="547">
                  <c:v>106.37</c:v>
                </c:pt>
                <c:pt idx="548">
                  <c:v>54.66</c:v>
                </c:pt>
                <c:pt idx="549">
                  <c:v>41.67</c:v>
                </c:pt>
                <c:pt idx="550">
                  <c:v>-81.11</c:v>
                </c:pt>
                <c:pt idx="551">
                  <c:v>3118.83</c:v>
                </c:pt>
                <c:pt idx="552">
                  <c:v>104.48</c:v>
                </c:pt>
                <c:pt idx="553">
                  <c:v>-52.12</c:v>
                </c:pt>
                <c:pt idx="554">
                  <c:v>3045.5</c:v>
                </c:pt>
                <c:pt idx="555">
                  <c:v>1053.33</c:v>
                </c:pt>
                <c:pt idx="556">
                  <c:v>1201.26</c:v>
                </c:pt>
                <c:pt idx="557">
                  <c:v>46.13</c:v>
                </c:pt>
                <c:pt idx="558">
                  <c:v>-782</c:v>
                </c:pt>
                <c:pt idx="559">
                  <c:v>922.6</c:v>
                </c:pt>
                <c:pt idx="560">
                  <c:v>108.78</c:v>
                </c:pt>
                <c:pt idx="561">
                  <c:v>2118.85</c:v>
                </c:pt>
                <c:pt idx="562">
                  <c:v>242.98</c:v>
                </c:pt>
                <c:pt idx="563">
                  <c:v>-342.41</c:v>
                </c:pt>
                <c:pt idx="564">
                  <c:v>64.67</c:v>
                </c:pt>
                <c:pt idx="565">
                  <c:v>1153.0999999999999</c:v>
                </c:pt>
                <c:pt idx="566">
                  <c:v>734.3</c:v>
                </c:pt>
                <c:pt idx="567">
                  <c:v>-193.21</c:v>
                </c:pt>
                <c:pt idx="568">
                  <c:v>648.38</c:v>
                </c:pt>
                <c:pt idx="569">
                  <c:v>125</c:v>
                </c:pt>
                <c:pt idx="570">
                  <c:v>1492.1</c:v>
                </c:pt>
                <c:pt idx="571">
                  <c:v>190.92</c:v>
                </c:pt>
                <c:pt idx="572">
                  <c:v>758.17</c:v>
                </c:pt>
                <c:pt idx="573">
                  <c:v>-2535.5500000000002</c:v>
                </c:pt>
                <c:pt idx="574">
                  <c:v>1184.03</c:v>
                </c:pt>
                <c:pt idx="575">
                  <c:v>273.44</c:v>
                </c:pt>
                <c:pt idx="576">
                  <c:v>711.25</c:v>
                </c:pt>
                <c:pt idx="577">
                  <c:v>-26.53</c:v>
                </c:pt>
                <c:pt idx="578">
                  <c:v>-21.01</c:v>
                </c:pt>
                <c:pt idx="579">
                  <c:v>157.1</c:v>
                </c:pt>
                <c:pt idx="580">
                  <c:v>391.49</c:v>
                </c:pt>
                <c:pt idx="581">
                  <c:v>190.93</c:v>
                </c:pt>
                <c:pt idx="582">
                  <c:v>20.99</c:v>
                </c:pt>
                <c:pt idx="583">
                  <c:v>35.159999999999997</c:v>
                </c:pt>
                <c:pt idx="584">
                  <c:v>989.87</c:v>
                </c:pt>
                <c:pt idx="585">
                  <c:v>609.54999999999995</c:v>
                </c:pt>
                <c:pt idx="586">
                  <c:v>-159.44999999999999</c:v>
                </c:pt>
                <c:pt idx="587">
                  <c:v>13.42</c:v>
                </c:pt>
                <c:pt idx="588">
                  <c:v>166.99</c:v>
                </c:pt>
                <c:pt idx="589">
                  <c:v>-115.34</c:v>
                </c:pt>
                <c:pt idx="590">
                  <c:v>567.77</c:v>
                </c:pt>
                <c:pt idx="591">
                  <c:v>306.72000000000003</c:v>
                </c:pt>
                <c:pt idx="592">
                  <c:v>509.96</c:v>
                </c:pt>
                <c:pt idx="593">
                  <c:v>-358.01</c:v>
                </c:pt>
                <c:pt idx="594">
                  <c:v>112.31</c:v>
                </c:pt>
                <c:pt idx="595">
                  <c:v>767</c:v>
                </c:pt>
                <c:pt idx="596">
                  <c:v>-9.84</c:v>
                </c:pt>
                <c:pt idx="597">
                  <c:v>239.03</c:v>
                </c:pt>
                <c:pt idx="598">
                  <c:v>-10.119999999999999</c:v>
                </c:pt>
                <c:pt idx="599">
                  <c:v>-1363.76</c:v>
                </c:pt>
                <c:pt idx="600">
                  <c:v>467.52</c:v>
                </c:pt>
                <c:pt idx="601">
                  <c:v>4.6900000000000004</c:v>
                </c:pt>
                <c:pt idx="602">
                  <c:v>35.380000000000003</c:v>
                </c:pt>
                <c:pt idx="603">
                  <c:v>91.88</c:v>
                </c:pt>
                <c:pt idx="604">
                  <c:v>-3.76</c:v>
                </c:pt>
                <c:pt idx="605">
                  <c:v>124.97</c:v>
                </c:pt>
                <c:pt idx="606">
                  <c:v>6.65</c:v>
                </c:pt>
                <c:pt idx="607">
                  <c:v>-379.17</c:v>
                </c:pt>
                <c:pt idx="608">
                  <c:v>-942.51</c:v>
                </c:pt>
                <c:pt idx="609">
                  <c:v>63.35</c:v>
                </c:pt>
                <c:pt idx="610">
                  <c:v>2387.1999999999998</c:v>
                </c:pt>
                <c:pt idx="611">
                  <c:v>108.53</c:v>
                </c:pt>
                <c:pt idx="612">
                  <c:v>1066.8499999999999</c:v>
                </c:pt>
                <c:pt idx="613">
                  <c:v>-100.21</c:v>
                </c:pt>
                <c:pt idx="614">
                  <c:v>-27.44</c:v>
                </c:pt>
                <c:pt idx="615">
                  <c:v>2687.85</c:v>
                </c:pt>
                <c:pt idx="616">
                  <c:v>20.02</c:v>
                </c:pt>
                <c:pt idx="617">
                  <c:v>-95.35</c:v>
                </c:pt>
                <c:pt idx="618">
                  <c:v>490.92</c:v>
                </c:pt>
                <c:pt idx="619">
                  <c:v>-59.35</c:v>
                </c:pt>
                <c:pt idx="620">
                  <c:v>786.64</c:v>
                </c:pt>
                <c:pt idx="621">
                  <c:v>-370.43</c:v>
                </c:pt>
                <c:pt idx="622">
                  <c:v>-1012.32</c:v>
                </c:pt>
                <c:pt idx="623">
                  <c:v>-7.94</c:v>
                </c:pt>
                <c:pt idx="624">
                  <c:v>69.42</c:v>
                </c:pt>
                <c:pt idx="625">
                  <c:v>-778.78</c:v>
                </c:pt>
                <c:pt idx="626">
                  <c:v>357.74</c:v>
                </c:pt>
                <c:pt idx="627">
                  <c:v>-637.38</c:v>
                </c:pt>
                <c:pt idx="628">
                  <c:v>45.37</c:v>
                </c:pt>
                <c:pt idx="629">
                  <c:v>443.72</c:v>
                </c:pt>
                <c:pt idx="630">
                  <c:v>828.49</c:v>
                </c:pt>
                <c:pt idx="631">
                  <c:v>-299.17</c:v>
                </c:pt>
                <c:pt idx="632">
                  <c:v>988.97</c:v>
                </c:pt>
                <c:pt idx="633">
                  <c:v>2213.81</c:v>
                </c:pt>
                <c:pt idx="634">
                  <c:v>775.22</c:v>
                </c:pt>
                <c:pt idx="635">
                  <c:v>939.71</c:v>
                </c:pt>
                <c:pt idx="636">
                  <c:v>-384.47</c:v>
                </c:pt>
                <c:pt idx="637">
                  <c:v>77.349999999999994</c:v>
                </c:pt>
                <c:pt idx="638">
                  <c:v>1776.8</c:v>
                </c:pt>
                <c:pt idx="639">
                  <c:v>500.79</c:v>
                </c:pt>
                <c:pt idx="640">
                  <c:v>2065.69</c:v>
                </c:pt>
                <c:pt idx="641">
                  <c:v>-297.55</c:v>
                </c:pt>
                <c:pt idx="642">
                  <c:v>245.82</c:v>
                </c:pt>
                <c:pt idx="643">
                  <c:v>120.83</c:v>
                </c:pt>
                <c:pt idx="644">
                  <c:v>844.98</c:v>
                </c:pt>
                <c:pt idx="645">
                  <c:v>-271.36</c:v>
                </c:pt>
                <c:pt idx="646">
                  <c:v>1539.25</c:v>
                </c:pt>
                <c:pt idx="647">
                  <c:v>236.86</c:v>
                </c:pt>
                <c:pt idx="648">
                  <c:v>68.900000000000006</c:v>
                </c:pt>
                <c:pt idx="649">
                  <c:v>-106.36</c:v>
                </c:pt>
                <c:pt idx="650">
                  <c:v>1683.94</c:v>
                </c:pt>
                <c:pt idx="651">
                  <c:v>1652.38</c:v>
                </c:pt>
                <c:pt idx="652">
                  <c:v>508.1</c:v>
                </c:pt>
                <c:pt idx="653">
                  <c:v>1737.78</c:v>
                </c:pt>
                <c:pt idx="654">
                  <c:v>1645.73</c:v>
                </c:pt>
                <c:pt idx="655">
                  <c:v>241.47</c:v>
                </c:pt>
                <c:pt idx="656">
                  <c:v>88.72</c:v>
                </c:pt>
                <c:pt idx="657">
                  <c:v>1192.5899999999999</c:v>
                </c:pt>
                <c:pt idx="658">
                  <c:v>-384.32</c:v>
                </c:pt>
                <c:pt idx="659">
                  <c:v>577.42999999999995</c:v>
                </c:pt>
                <c:pt idx="660">
                  <c:v>249.52</c:v>
                </c:pt>
                <c:pt idx="661">
                  <c:v>2780.36</c:v>
                </c:pt>
                <c:pt idx="662">
                  <c:v>-877.6</c:v>
                </c:pt>
                <c:pt idx="663">
                  <c:v>-659.09</c:v>
                </c:pt>
                <c:pt idx="664">
                  <c:v>95.72</c:v>
                </c:pt>
                <c:pt idx="665">
                  <c:v>945.67</c:v>
                </c:pt>
                <c:pt idx="666">
                  <c:v>171.98</c:v>
                </c:pt>
                <c:pt idx="667">
                  <c:v>50.23</c:v>
                </c:pt>
                <c:pt idx="668">
                  <c:v>48.67</c:v>
                </c:pt>
                <c:pt idx="669">
                  <c:v>-205.08</c:v>
                </c:pt>
                <c:pt idx="670">
                  <c:v>-219.41</c:v>
                </c:pt>
                <c:pt idx="671">
                  <c:v>108.57</c:v>
                </c:pt>
                <c:pt idx="672">
                  <c:v>1658.78</c:v>
                </c:pt>
                <c:pt idx="673">
                  <c:v>52.39</c:v>
                </c:pt>
                <c:pt idx="674">
                  <c:v>1153.78</c:v>
                </c:pt>
                <c:pt idx="675">
                  <c:v>426.78</c:v>
                </c:pt>
                <c:pt idx="676">
                  <c:v>2285.9899999999998</c:v>
                </c:pt>
                <c:pt idx="677">
                  <c:v>141.27000000000001</c:v>
                </c:pt>
                <c:pt idx="678">
                  <c:v>-145.66999999999999</c:v>
                </c:pt>
                <c:pt idx="679">
                  <c:v>244.53</c:v>
                </c:pt>
                <c:pt idx="680">
                  <c:v>-6.85</c:v>
                </c:pt>
                <c:pt idx="681">
                  <c:v>975.33</c:v>
                </c:pt>
                <c:pt idx="682">
                  <c:v>1399.12</c:v>
                </c:pt>
                <c:pt idx="683">
                  <c:v>2032.84</c:v>
                </c:pt>
                <c:pt idx="684">
                  <c:v>-117.62</c:v>
                </c:pt>
                <c:pt idx="685">
                  <c:v>398.99</c:v>
                </c:pt>
                <c:pt idx="686">
                  <c:v>348.25</c:v>
                </c:pt>
                <c:pt idx="687">
                  <c:v>698.36</c:v>
                </c:pt>
                <c:pt idx="688">
                  <c:v>604.94000000000005</c:v>
                </c:pt>
                <c:pt idx="689">
                  <c:v>170.22</c:v>
                </c:pt>
                <c:pt idx="690">
                  <c:v>-65.37</c:v>
                </c:pt>
                <c:pt idx="691">
                  <c:v>152.75</c:v>
                </c:pt>
                <c:pt idx="692">
                  <c:v>304.26</c:v>
                </c:pt>
                <c:pt idx="693">
                  <c:v>-163.34</c:v>
                </c:pt>
                <c:pt idx="694">
                  <c:v>201.11</c:v>
                </c:pt>
                <c:pt idx="695">
                  <c:v>-1702.69</c:v>
                </c:pt>
                <c:pt idx="696">
                  <c:v>1124.8499999999999</c:v>
                </c:pt>
                <c:pt idx="697">
                  <c:v>-20.74</c:v>
                </c:pt>
                <c:pt idx="698">
                  <c:v>-165.2</c:v>
                </c:pt>
                <c:pt idx="699">
                  <c:v>147.77000000000001</c:v>
                </c:pt>
                <c:pt idx="700">
                  <c:v>1208.2</c:v>
                </c:pt>
                <c:pt idx="701">
                  <c:v>719.58</c:v>
                </c:pt>
                <c:pt idx="702">
                  <c:v>-172.91</c:v>
                </c:pt>
                <c:pt idx="703">
                  <c:v>48.09</c:v>
                </c:pt>
                <c:pt idx="704">
                  <c:v>58.72</c:v>
                </c:pt>
                <c:pt idx="705">
                  <c:v>10.56</c:v>
                </c:pt>
                <c:pt idx="706">
                  <c:v>2320.46</c:v>
                </c:pt>
                <c:pt idx="707">
                  <c:v>737.97</c:v>
                </c:pt>
                <c:pt idx="708">
                  <c:v>181.68</c:v>
                </c:pt>
                <c:pt idx="709">
                  <c:v>204.13</c:v>
                </c:pt>
                <c:pt idx="710">
                  <c:v>-4.4400000000000004</c:v>
                </c:pt>
                <c:pt idx="711">
                  <c:v>523.9</c:v>
                </c:pt>
                <c:pt idx="712">
                  <c:v>1363.65</c:v>
                </c:pt>
                <c:pt idx="713">
                  <c:v>-70.930000000000007</c:v>
                </c:pt>
                <c:pt idx="714">
                  <c:v>1212.05</c:v>
                </c:pt>
                <c:pt idx="715">
                  <c:v>1055.6400000000001</c:v>
                </c:pt>
                <c:pt idx="716">
                  <c:v>1034.43</c:v>
                </c:pt>
                <c:pt idx="717">
                  <c:v>56.46</c:v>
                </c:pt>
                <c:pt idx="718">
                  <c:v>-2521.1</c:v>
                </c:pt>
                <c:pt idx="719">
                  <c:v>-213.47</c:v>
                </c:pt>
                <c:pt idx="720">
                  <c:v>85.27</c:v>
                </c:pt>
                <c:pt idx="721">
                  <c:v>1708.82</c:v>
                </c:pt>
                <c:pt idx="722">
                  <c:v>2093.02</c:v>
                </c:pt>
                <c:pt idx="723">
                  <c:v>-1137.2</c:v>
                </c:pt>
                <c:pt idx="724">
                  <c:v>38.770000000000003</c:v>
                </c:pt>
                <c:pt idx="725">
                  <c:v>1952.28</c:v>
                </c:pt>
                <c:pt idx="726">
                  <c:v>147.04</c:v>
                </c:pt>
                <c:pt idx="727">
                  <c:v>29.66</c:v>
                </c:pt>
                <c:pt idx="728">
                  <c:v>-176.33</c:v>
                </c:pt>
                <c:pt idx="729">
                  <c:v>386.55</c:v>
                </c:pt>
                <c:pt idx="730">
                  <c:v>313.91000000000003</c:v>
                </c:pt>
                <c:pt idx="731">
                  <c:v>1454.07</c:v>
                </c:pt>
                <c:pt idx="732">
                  <c:v>730.49</c:v>
                </c:pt>
                <c:pt idx="733">
                  <c:v>2347.2199999999998</c:v>
                </c:pt>
                <c:pt idx="734">
                  <c:v>48.95</c:v>
                </c:pt>
                <c:pt idx="735">
                  <c:v>2822.31</c:v>
                </c:pt>
                <c:pt idx="736">
                  <c:v>-1282.92</c:v>
                </c:pt>
                <c:pt idx="737">
                  <c:v>228.99</c:v>
                </c:pt>
                <c:pt idx="738">
                  <c:v>1606.34</c:v>
                </c:pt>
                <c:pt idx="739">
                  <c:v>85</c:v>
                </c:pt>
                <c:pt idx="740">
                  <c:v>125.15</c:v>
                </c:pt>
                <c:pt idx="741">
                  <c:v>32.979999999999997</c:v>
                </c:pt>
                <c:pt idx="742">
                  <c:v>45.19</c:v>
                </c:pt>
                <c:pt idx="743">
                  <c:v>40.08</c:v>
                </c:pt>
                <c:pt idx="744">
                  <c:v>-75.459999999999994</c:v>
                </c:pt>
                <c:pt idx="745">
                  <c:v>198.8</c:v>
                </c:pt>
                <c:pt idx="746">
                  <c:v>-23.15</c:v>
                </c:pt>
                <c:pt idx="747">
                  <c:v>203.85</c:v>
                </c:pt>
                <c:pt idx="748">
                  <c:v>667.92</c:v>
                </c:pt>
                <c:pt idx="749">
                  <c:v>839.19</c:v>
                </c:pt>
                <c:pt idx="750">
                  <c:v>26.42</c:v>
                </c:pt>
                <c:pt idx="751">
                  <c:v>354.4</c:v>
                </c:pt>
                <c:pt idx="752">
                  <c:v>1324.31</c:v>
                </c:pt>
                <c:pt idx="753">
                  <c:v>1395.99</c:v>
                </c:pt>
                <c:pt idx="754">
                  <c:v>85.7</c:v>
                </c:pt>
                <c:pt idx="755">
                  <c:v>-42.17</c:v>
                </c:pt>
                <c:pt idx="756">
                  <c:v>154.49</c:v>
                </c:pt>
                <c:pt idx="757">
                  <c:v>494.35</c:v>
                </c:pt>
                <c:pt idx="758">
                  <c:v>915.73</c:v>
                </c:pt>
                <c:pt idx="759">
                  <c:v>93.63</c:v>
                </c:pt>
                <c:pt idx="760">
                  <c:v>2792.93</c:v>
                </c:pt>
                <c:pt idx="761">
                  <c:v>-422.62</c:v>
                </c:pt>
                <c:pt idx="762">
                  <c:v>-849.92</c:v>
                </c:pt>
                <c:pt idx="763">
                  <c:v>445.91</c:v>
                </c:pt>
                <c:pt idx="764">
                  <c:v>1181.2</c:v>
                </c:pt>
                <c:pt idx="765">
                  <c:v>26.21</c:v>
                </c:pt>
                <c:pt idx="766">
                  <c:v>1225.52</c:v>
                </c:pt>
                <c:pt idx="767">
                  <c:v>261.5</c:v>
                </c:pt>
                <c:pt idx="768">
                  <c:v>-6.02</c:v>
                </c:pt>
                <c:pt idx="769">
                  <c:v>1376.69</c:v>
                </c:pt>
                <c:pt idx="770">
                  <c:v>848.56</c:v>
                </c:pt>
                <c:pt idx="771">
                  <c:v>70.09</c:v>
                </c:pt>
                <c:pt idx="772">
                  <c:v>-576.89</c:v>
                </c:pt>
                <c:pt idx="773">
                  <c:v>-27.8</c:v>
                </c:pt>
                <c:pt idx="774">
                  <c:v>475.83</c:v>
                </c:pt>
                <c:pt idx="775">
                  <c:v>167.24</c:v>
                </c:pt>
                <c:pt idx="776">
                  <c:v>506.17</c:v>
                </c:pt>
                <c:pt idx="777">
                  <c:v>542.11</c:v>
                </c:pt>
                <c:pt idx="778">
                  <c:v>761.34</c:v>
                </c:pt>
                <c:pt idx="779">
                  <c:v>1461.09</c:v>
                </c:pt>
                <c:pt idx="780">
                  <c:v>15.81</c:v>
                </c:pt>
                <c:pt idx="781">
                  <c:v>1303.81</c:v>
                </c:pt>
                <c:pt idx="782">
                  <c:v>879.33</c:v>
                </c:pt>
                <c:pt idx="783">
                  <c:v>538.84</c:v>
                </c:pt>
                <c:pt idx="784">
                  <c:v>124.07</c:v>
                </c:pt>
                <c:pt idx="785">
                  <c:v>82.57</c:v>
                </c:pt>
                <c:pt idx="786">
                  <c:v>615.96</c:v>
                </c:pt>
                <c:pt idx="787">
                  <c:v>1303.4100000000001</c:v>
                </c:pt>
                <c:pt idx="788">
                  <c:v>497.16</c:v>
                </c:pt>
                <c:pt idx="789">
                  <c:v>112.32</c:v>
                </c:pt>
                <c:pt idx="790">
                  <c:v>179.41</c:v>
                </c:pt>
                <c:pt idx="791">
                  <c:v>1242.98</c:v>
                </c:pt>
                <c:pt idx="792">
                  <c:v>-25.27</c:v>
                </c:pt>
                <c:pt idx="793">
                  <c:v>-502.12</c:v>
                </c:pt>
                <c:pt idx="794">
                  <c:v>46.58</c:v>
                </c:pt>
                <c:pt idx="795">
                  <c:v>0.59</c:v>
                </c:pt>
                <c:pt idx="796">
                  <c:v>1530.52</c:v>
                </c:pt>
                <c:pt idx="797">
                  <c:v>564.17999999999995</c:v>
                </c:pt>
                <c:pt idx="798">
                  <c:v>409.59</c:v>
                </c:pt>
                <c:pt idx="799">
                  <c:v>1807.83</c:v>
                </c:pt>
                <c:pt idx="800">
                  <c:v>929.21</c:v>
                </c:pt>
                <c:pt idx="801">
                  <c:v>-15.47</c:v>
                </c:pt>
                <c:pt idx="802">
                  <c:v>1288.3499999999999</c:v>
                </c:pt>
                <c:pt idx="803">
                  <c:v>14.81</c:v>
                </c:pt>
                <c:pt idx="804">
                  <c:v>-5.19</c:v>
                </c:pt>
                <c:pt idx="805">
                  <c:v>-377.99</c:v>
                </c:pt>
                <c:pt idx="806">
                  <c:v>2028.94</c:v>
                </c:pt>
                <c:pt idx="807">
                  <c:v>-495.04</c:v>
                </c:pt>
                <c:pt idx="808">
                  <c:v>2004.09</c:v>
                </c:pt>
                <c:pt idx="809">
                  <c:v>592.13</c:v>
                </c:pt>
                <c:pt idx="810">
                  <c:v>460.42</c:v>
                </c:pt>
                <c:pt idx="811">
                  <c:v>-172.17</c:v>
                </c:pt>
                <c:pt idx="812">
                  <c:v>647.04</c:v>
                </c:pt>
                <c:pt idx="813">
                  <c:v>880.97</c:v>
                </c:pt>
                <c:pt idx="814">
                  <c:v>110.68</c:v>
                </c:pt>
                <c:pt idx="815">
                  <c:v>67.849999999999994</c:v>
                </c:pt>
                <c:pt idx="816">
                  <c:v>-325.38</c:v>
                </c:pt>
                <c:pt idx="817">
                  <c:v>3283.02</c:v>
                </c:pt>
                <c:pt idx="818">
                  <c:v>1062.1099999999999</c:v>
                </c:pt>
                <c:pt idx="819">
                  <c:v>52.92</c:v>
                </c:pt>
                <c:pt idx="820">
                  <c:v>-47.01</c:v>
                </c:pt>
                <c:pt idx="821">
                  <c:v>227.14</c:v>
                </c:pt>
                <c:pt idx="822">
                  <c:v>12.76</c:v>
                </c:pt>
                <c:pt idx="823">
                  <c:v>-959.77</c:v>
                </c:pt>
                <c:pt idx="824">
                  <c:v>-82.07</c:v>
                </c:pt>
                <c:pt idx="825">
                  <c:v>-6.41</c:v>
                </c:pt>
                <c:pt idx="826">
                  <c:v>736.3</c:v>
                </c:pt>
                <c:pt idx="827">
                  <c:v>253.61</c:v>
                </c:pt>
                <c:pt idx="828">
                  <c:v>628.12</c:v>
                </c:pt>
                <c:pt idx="829">
                  <c:v>1589.22</c:v>
                </c:pt>
                <c:pt idx="830">
                  <c:v>823.72</c:v>
                </c:pt>
                <c:pt idx="831">
                  <c:v>1296.01</c:v>
                </c:pt>
                <c:pt idx="832">
                  <c:v>75.92</c:v>
                </c:pt>
                <c:pt idx="833">
                  <c:v>-1608.91</c:v>
                </c:pt>
                <c:pt idx="834">
                  <c:v>62.21</c:v>
                </c:pt>
                <c:pt idx="835">
                  <c:v>3804</c:v>
                </c:pt>
                <c:pt idx="836">
                  <c:v>-157.31</c:v>
                </c:pt>
                <c:pt idx="837">
                  <c:v>-98.61</c:v>
                </c:pt>
                <c:pt idx="838">
                  <c:v>71.89</c:v>
                </c:pt>
                <c:pt idx="839">
                  <c:v>323.05</c:v>
                </c:pt>
                <c:pt idx="840">
                  <c:v>22.04</c:v>
                </c:pt>
                <c:pt idx="841">
                  <c:v>1901.19</c:v>
                </c:pt>
                <c:pt idx="842">
                  <c:v>-12.86</c:v>
                </c:pt>
                <c:pt idx="843">
                  <c:v>994.65</c:v>
                </c:pt>
                <c:pt idx="844">
                  <c:v>199.34</c:v>
                </c:pt>
                <c:pt idx="845">
                  <c:v>353.57</c:v>
                </c:pt>
                <c:pt idx="846">
                  <c:v>78.48</c:v>
                </c:pt>
                <c:pt idx="847">
                  <c:v>813.93</c:v>
                </c:pt>
                <c:pt idx="848">
                  <c:v>13.35</c:v>
                </c:pt>
                <c:pt idx="849">
                  <c:v>2725.17</c:v>
                </c:pt>
                <c:pt idx="850">
                  <c:v>309.26</c:v>
                </c:pt>
                <c:pt idx="851">
                  <c:v>5.58</c:v>
                </c:pt>
                <c:pt idx="852">
                  <c:v>410.47</c:v>
                </c:pt>
                <c:pt idx="853">
                  <c:v>275.36</c:v>
                </c:pt>
                <c:pt idx="854">
                  <c:v>1263.68</c:v>
                </c:pt>
                <c:pt idx="855">
                  <c:v>9.83</c:v>
                </c:pt>
                <c:pt idx="856">
                  <c:v>4.3899999999999997</c:v>
                </c:pt>
                <c:pt idx="857">
                  <c:v>108.02</c:v>
                </c:pt>
                <c:pt idx="858">
                  <c:v>755.31</c:v>
                </c:pt>
                <c:pt idx="859">
                  <c:v>300.8</c:v>
                </c:pt>
                <c:pt idx="860">
                  <c:v>34.380000000000003</c:v>
                </c:pt>
                <c:pt idx="861">
                  <c:v>644.63</c:v>
                </c:pt>
                <c:pt idx="862">
                  <c:v>779.98</c:v>
                </c:pt>
                <c:pt idx="863">
                  <c:v>795.79</c:v>
                </c:pt>
                <c:pt idx="864">
                  <c:v>-152.51</c:v>
                </c:pt>
                <c:pt idx="865">
                  <c:v>-2132.44</c:v>
                </c:pt>
                <c:pt idx="866">
                  <c:v>-891.01</c:v>
                </c:pt>
                <c:pt idx="867">
                  <c:v>-695.64</c:v>
                </c:pt>
                <c:pt idx="868">
                  <c:v>967.66</c:v>
                </c:pt>
                <c:pt idx="869">
                  <c:v>114.29</c:v>
                </c:pt>
                <c:pt idx="870">
                  <c:v>25.4</c:v>
                </c:pt>
                <c:pt idx="871">
                  <c:v>125.42</c:v>
                </c:pt>
                <c:pt idx="872">
                  <c:v>68.33</c:v>
                </c:pt>
                <c:pt idx="873">
                  <c:v>113.86</c:v>
                </c:pt>
                <c:pt idx="874">
                  <c:v>-265.52999999999997</c:v>
                </c:pt>
                <c:pt idx="875">
                  <c:v>326.52999999999997</c:v>
                </c:pt>
                <c:pt idx="876">
                  <c:v>-112.57</c:v>
                </c:pt>
                <c:pt idx="877">
                  <c:v>34.159999999999997</c:v>
                </c:pt>
                <c:pt idx="878">
                  <c:v>-13.28</c:v>
                </c:pt>
                <c:pt idx="879">
                  <c:v>-543.54</c:v>
                </c:pt>
                <c:pt idx="880">
                  <c:v>2932.53</c:v>
                </c:pt>
                <c:pt idx="881">
                  <c:v>355.71</c:v>
                </c:pt>
                <c:pt idx="882">
                  <c:v>-7.67</c:v>
                </c:pt>
                <c:pt idx="883">
                  <c:v>-755.91</c:v>
                </c:pt>
                <c:pt idx="884">
                  <c:v>17.13</c:v>
                </c:pt>
                <c:pt idx="885">
                  <c:v>491.3</c:v>
                </c:pt>
                <c:pt idx="886">
                  <c:v>596.98</c:v>
                </c:pt>
                <c:pt idx="887">
                  <c:v>-679.23</c:v>
                </c:pt>
                <c:pt idx="888">
                  <c:v>32.299999999999997</c:v>
                </c:pt>
                <c:pt idx="889">
                  <c:v>-51.74</c:v>
                </c:pt>
                <c:pt idx="890">
                  <c:v>921.94</c:v>
                </c:pt>
                <c:pt idx="891">
                  <c:v>180.07</c:v>
                </c:pt>
                <c:pt idx="892">
                  <c:v>107.46</c:v>
                </c:pt>
                <c:pt idx="893">
                  <c:v>1035.8399999999999</c:v>
                </c:pt>
                <c:pt idx="894">
                  <c:v>-191.41</c:v>
                </c:pt>
                <c:pt idx="895">
                  <c:v>44.88</c:v>
                </c:pt>
                <c:pt idx="896">
                  <c:v>1300.07</c:v>
                </c:pt>
                <c:pt idx="897">
                  <c:v>-75.92</c:v>
                </c:pt>
                <c:pt idx="898">
                  <c:v>-54.01</c:v>
                </c:pt>
                <c:pt idx="899">
                  <c:v>282.02999999999997</c:v>
                </c:pt>
                <c:pt idx="900">
                  <c:v>-455.95</c:v>
                </c:pt>
                <c:pt idx="901">
                  <c:v>814.32</c:v>
                </c:pt>
                <c:pt idx="902">
                  <c:v>1530.11</c:v>
                </c:pt>
                <c:pt idx="903">
                  <c:v>126.61</c:v>
                </c:pt>
                <c:pt idx="904">
                  <c:v>-1.57</c:v>
                </c:pt>
                <c:pt idx="905">
                  <c:v>119.04</c:v>
                </c:pt>
                <c:pt idx="906">
                  <c:v>110.8</c:v>
                </c:pt>
                <c:pt idx="907">
                  <c:v>81.260000000000005</c:v>
                </c:pt>
                <c:pt idx="908">
                  <c:v>589.05999999999995</c:v>
                </c:pt>
                <c:pt idx="909">
                  <c:v>260.43</c:v>
                </c:pt>
                <c:pt idx="910">
                  <c:v>-505.14</c:v>
                </c:pt>
                <c:pt idx="911">
                  <c:v>68.25</c:v>
                </c:pt>
                <c:pt idx="912">
                  <c:v>15.96</c:v>
                </c:pt>
                <c:pt idx="913">
                  <c:v>1046.26</c:v>
                </c:pt>
                <c:pt idx="914">
                  <c:v>279.10000000000002</c:v>
                </c:pt>
                <c:pt idx="915">
                  <c:v>476.95</c:v>
                </c:pt>
                <c:pt idx="916">
                  <c:v>-7.05</c:v>
                </c:pt>
                <c:pt idx="917">
                  <c:v>1123.68</c:v>
                </c:pt>
                <c:pt idx="918">
                  <c:v>73.260000000000005</c:v>
                </c:pt>
                <c:pt idx="919">
                  <c:v>502.24</c:v>
                </c:pt>
                <c:pt idx="920">
                  <c:v>73.41</c:v>
                </c:pt>
                <c:pt idx="921">
                  <c:v>1162.6500000000001</c:v>
                </c:pt>
                <c:pt idx="922">
                  <c:v>-617.20000000000005</c:v>
                </c:pt>
                <c:pt idx="923">
                  <c:v>-364.1</c:v>
                </c:pt>
                <c:pt idx="924">
                  <c:v>12.75</c:v>
                </c:pt>
                <c:pt idx="925">
                  <c:v>-36.65</c:v>
                </c:pt>
                <c:pt idx="926">
                  <c:v>132.93</c:v>
                </c:pt>
                <c:pt idx="927">
                  <c:v>14.12</c:v>
                </c:pt>
                <c:pt idx="928">
                  <c:v>540.85</c:v>
                </c:pt>
                <c:pt idx="929">
                  <c:v>782.62</c:v>
                </c:pt>
                <c:pt idx="930">
                  <c:v>-12.68</c:v>
                </c:pt>
                <c:pt idx="931">
                  <c:v>397.78</c:v>
                </c:pt>
                <c:pt idx="932">
                  <c:v>1105.31</c:v>
                </c:pt>
                <c:pt idx="933">
                  <c:v>576.29</c:v>
                </c:pt>
                <c:pt idx="934">
                  <c:v>-148.6</c:v>
                </c:pt>
                <c:pt idx="935">
                  <c:v>65.680000000000007</c:v>
                </c:pt>
                <c:pt idx="936">
                  <c:v>-1.1299999999999999</c:v>
                </c:pt>
                <c:pt idx="937">
                  <c:v>352.03</c:v>
                </c:pt>
                <c:pt idx="938">
                  <c:v>29.35</c:v>
                </c:pt>
                <c:pt idx="939">
                  <c:v>-219.03</c:v>
                </c:pt>
                <c:pt idx="940">
                  <c:v>29.27</c:v>
                </c:pt>
                <c:pt idx="941">
                  <c:v>194.24</c:v>
                </c:pt>
                <c:pt idx="942">
                  <c:v>-189.01</c:v>
                </c:pt>
                <c:pt idx="943">
                  <c:v>24.03</c:v>
                </c:pt>
                <c:pt idx="944">
                  <c:v>247.63</c:v>
                </c:pt>
                <c:pt idx="945">
                  <c:v>-791.36</c:v>
                </c:pt>
                <c:pt idx="946">
                  <c:v>601.28</c:v>
                </c:pt>
                <c:pt idx="947">
                  <c:v>1722.02</c:v>
                </c:pt>
                <c:pt idx="948">
                  <c:v>170.33</c:v>
                </c:pt>
                <c:pt idx="949">
                  <c:v>717.01</c:v>
                </c:pt>
                <c:pt idx="950">
                  <c:v>155.88999999999999</c:v>
                </c:pt>
                <c:pt idx="951">
                  <c:v>-127.16</c:v>
                </c:pt>
                <c:pt idx="952">
                  <c:v>729.15</c:v>
                </c:pt>
                <c:pt idx="953">
                  <c:v>8.7799999999999994</c:v>
                </c:pt>
                <c:pt idx="954">
                  <c:v>73.11</c:v>
                </c:pt>
                <c:pt idx="955">
                  <c:v>43.14</c:v>
                </c:pt>
                <c:pt idx="956">
                  <c:v>342.93</c:v>
                </c:pt>
                <c:pt idx="957">
                  <c:v>1382.34</c:v>
                </c:pt>
                <c:pt idx="958">
                  <c:v>597.38</c:v>
                </c:pt>
                <c:pt idx="959">
                  <c:v>209.28</c:v>
                </c:pt>
                <c:pt idx="960">
                  <c:v>216.92</c:v>
                </c:pt>
                <c:pt idx="961">
                  <c:v>686.58</c:v>
                </c:pt>
                <c:pt idx="962">
                  <c:v>977.7</c:v>
                </c:pt>
                <c:pt idx="963">
                  <c:v>679.71</c:v>
                </c:pt>
                <c:pt idx="964">
                  <c:v>274.3</c:v>
                </c:pt>
                <c:pt idx="965">
                  <c:v>105.8</c:v>
                </c:pt>
                <c:pt idx="966">
                  <c:v>-307.77</c:v>
                </c:pt>
                <c:pt idx="967">
                  <c:v>1437.34</c:v>
                </c:pt>
                <c:pt idx="968">
                  <c:v>128.08000000000001</c:v>
                </c:pt>
                <c:pt idx="969">
                  <c:v>-23.18</c:v>
                </c:pt>
                <c:pt idx="970">
                  <c:v>-332.03</c:v>
                </c:pt>
                <c:pt idx="971">
                  <c:v>224.18</c:v>
                </c:pt>
                <c:pt idx="972">
                  <c:v>88.28</c:v>
                </c:pt>
                <c:pt idx="973">
                  <c:v>-37.43</c:v>
                </c:pt>
                <c:pt idx="974">
                  <c:v>-63.97</c:v>
                </c:pt>
                <c:pt idx="975">
                  <c:v>-230.14</c:v>
                </c:pt>
                <c:pt idx="976">
                  <c:v>65.040000000000006</c:v>
                </c:pt>
                <c:pt idx="977">
                  <c:v>45.75</c:v>
                </c:pt>
                <c:pt idx="978">
                  <c:v>114.27</c:v>
                </c:pt>
                <c:pt idx="979">
                  <c:v>91.25</c:v>
                </c:pt>
                <c:pt idx="980">
                  <c:v>3.39</c:v>
                </c:pt>
                <c:pt idx="981">
                  <c:v>300.33999999999997</c:v>
                </c:pt>
                <c:pt idx="982">
                  <c:v>1344.22</c:v>
                </c:pt>
                <c:pt idx="983">
                  <c:v>526.41999999999996</c:v>
                </c:pt>
                <c:pt idx="984">
                  <c:v>-342.56</c:v>
                </c:pt>
                <c:pt idx="985">
                  <c:v>62.67</c:v>
                </c:pt>
                <c:pt idx="986">
                  <c:v>120.22</c:v>
                </c:pt>
                <c:pt idx="987">
                  <c:v>316.08</c:v>
                </c:pt>
                <c:pt idx="988">
                  <c:v>56.25</c:v>
                </c:pt>
                <c:pt idx="989">
                  <c:v>128.79</c:v>
                </c:pt>
                <c:pt idx="990">
                  <c:v>2359.42</c:v>
                </c:pt>
                <c:pt idx="991">
                  <c:v>431.45</c:v>
                </c:pt>
                <c:pt idx="992">
                  <c:v>940.01</c:v>
                </c:pt>
                <c:pt idx="993">
                  <c:v>867.98</c:v>
                </c:pt>
                <c:pt idx="994">
                  <c:v>-74.239999999999995</c:v>
                </c:pt>
                <c:pt idx="995">
                  <c:v>470.13</c:v>
                </c:pt>
                <c:pt idx="996">
                  <c:v>885.3</c:v>
                </c:pt>
                <c:pt idx="997">
                  <c:v>1168.75</c:v>
                </c:pt>
                <c:pt idx="998">
                  <c:v>657.03</c:v>
                </c:pt>
                <c:pt idx="999">
                  <c:v>1528.75</c:v>
                </c:pt>
              </c:numCache>
            </c:numRef>
          </c:yVal>
          <c:smooth val="0"/>
          <c:extLst>
            <c:ext xmlns:c16="http://schemas.microsoft.com/office/drawing/2014/chart" uri="{C3380CC4-5D6E-409C-BE32-E72D297353CC}">
              <c16:uniqueId val="{00000000-9667-004B-9642-6B74D76B8780}"/>
            </c:ext>
          </c:extLst>
        </c:ser>
        <c:dLbls>
          <c:showLegendKey val="0"/>
          <c:showVal val="0"/>
          <c:showCatName val="0"/>
          <c:showSerName val="0"/>
          <c:showPercent val="0"/>
          <c:showBubbleSize val="0"/>
        </c:dLbls>
        <c:axId val="1590240896"/>
        <c:axId val="1590150016"/>
      </c:scatterChart>
      <c:valAx>
        <c:axId val="1590240896"/>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0150016"/>
        <c:crosses val="autoZero"/>
        <c:crossBetween val="midCat"/>
      </c:valAx>
      <c:valAx>
        <c:axId val="159015001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quot;₹&quot;#,##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02408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[AI_Assisted_Sales_Dashboard_Dataset_1000_Rows.xlsx]ANALYSIS!PivotTable20</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 Wise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ANALYSIS!$A$4:$A$16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ANALYSIS!$B$4:$B$16</c:f>
              <c:numCache>
                <c:formatCode>"₹"#,##0.00</c:formatCode>
                <c:ptCount val="12"/>
                <c:pt idx="0">
                  <c:v>355999.32999999996</c:v>
                </c:pt>
                <c:pt idx="1">
                  <c:v>140042.73000000001</c:v>
                </c:pt>
                <c:pt idx="2">
                  <c:v>367070.95000000007</c:v>
                </c:pt>
                <c:pt idx="3">
                  <c:v>310082.86000000004</c:v>
                </c:pt>
                <c:pt idx="4">
                  <c:v>266511</c:v>
                </c:pt>
                <c:pt idx="5">
                  <c:v>287893.18</c:v>
                </c:pt>
                <c:pt idx="6">
                  <c:v>346784.4800000001</c:v>
                </c:pt>
                <c:pt idx="7">
                  <c:v>239372.65000000008</c:v>
                </c:pt>
                <c:pt idx="8">
                  <c:v>297494.26</c:v>
                </c:pt>
                <c:pt idx="9">
                  <c:v>225012.92999999996</c:v>
                </c:pt>
                <c:pt idx="10">
                  <c:v>284343.11000000004</c:v>
                </c:pt>
                <c:pt idx="11">
                  <c:v>344847.57999999996</c:v>
                </c:pt>
              </c:numCache>
            </c:numRef>
          </c:val>
          <c:smooth val="0"/>
          <c:extLst>
            <c:ext xmlns:c16="http://schemas.microsoft.com/office/drawing/2014/chart" uri="{C3380CC4-5D6E-409C-BE32-E72D297353CC}">
              <c16:uniqueId val="{00000000-46CD-104F-AD02-3CFBBB8E6CA7}"/>
            </c:ext>
          </c:extLst>
        </c:ser>
        <c:dLbls>
          <c:showLegendKey val="0"/>
          <c:showVal val="0"/>
          <c:showCatName val="0"/>
          <c:showSerName val="0"/>
          <c:showPercent val="0"/>
          <c:showBubbleSize val="0"/>
        </c:dLbls>
        <c:marker val="1"/>
        <c:smooth val="0"/>
        <c:axId val="1414133760"/>
        <c:axId val="1478456896"/>
      </c:lineChart>
      <c:catAx>
        <c:axId val="14141337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456896"/>
        <c:crosses val="autoZero"/>
        <c:auto val="1"/>
        <c:lblAlgn val="ctr"/>
        <c:lblOffset val="100"/>
        <c:noMultiLvlLbl val="0"/>
      </c:catAx>
      <c:valAx>
        <c:axId val="147845689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13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[AI_Assisted_Sales_Dashboard_Dataset_1000_Rows.xlsx]ANALYSIS!PivotTable21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 Wise Profit</a:t>
            </a:r>
            <a:r>
              <a:rPr lang="en-US" baseline="0"/>
              <a:t>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ANALYSIS!$B$20</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cat>
            <c:strRef>
              <c:f>ANALYSIS!$A$21:$A$33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ANALYSIS!$B$21:$B$33</c:f>
              <c:numCache>
                <c:formatCode>"₹"#,##0.00</c:formatCode>
                <c:ptCount val="12"/>
                <c:pt idx="0">
                  <c:v>44290.710000000014</c:v>
                </c:pt>
                <c:pt idx="1">
                  <c:v>9348.99</c:v>
                </c:pt>
                <c:pt idx="2">
                  <c:v>35843.57</c:v>
                </c:pt>
                <c:pt idx="3">
                  <c:v>24943.44999999999</c:v>
                </c:pt>
                <c:pt idx="4">
                  <c:v>26622.010000000002</c:v>
                </c:pt>
                <c:pt idx="5">
                  <c:v>31035.030000000002</c:v>
                </c:pt>
                <c:pt idx="6">
                  <c:v>37681.550000000003</c:v>
                </c:pt>
                <c:pt idx="7">
                  <c:v>27130.529999999995</c:v>
                </c:pt>
                <c:pt idx="8">
                  <c:v>35406.109999999979</c:v>
                </c:pt>
                <c:pt idx="9">
                  <c:v>21609.420000000002</c:v>
                </c:pt>
                <c:pt idx="10">
                  <c:v>26471.029999999995</c:v>
                </c:pt>
                <c:pt idx="11">
                  <c:v>39030.21</c:v>
                </c:pt>
              </c:numCache>
            </c:numRef>
          </c:val>
          <c:smooth val="0"/>
          <c:extLst>
            <c:ext xmlns:c16="http://schemas.microsoft.com/office/drawing/2014/chart" uri="{C3380CC4-5D6E-409C-BE32-E72D297353CC}">
              <c16:uniqueId val="{00000000-0730-DE45-9A5E-F19698D40BFF}"/>
            </c:ext>
          </c:extLst>
        </c:ser>
        <c:dLbls>
          <c:showLegendKey val="0"/>
          <c:showVal val="0"/>
          <c:showCatName val="0"/>
          <c:showSerName val="0"/>
          <c:showPercent val="0"/>
          <c:showBubbleSize val="0"/>
        </c:dLbls>
        <c:smooth val="0"/>
        <c:axId val="1457887360"/>
        <c:axId val="1457889152"/>
      </c:lineChart>
      <c:catAx>
        <c:axId val="14578873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7889152"/>
        <c:crosses val="autoZero"/>
        <c:auto val="1"/>
        <c:lblAlgn val="ctr"/>
        <c:lblOffset val="100"/>
        <c:noMultiLvlLbl val="0"/>
      </c:catAx>
      <c:valAx>
        <c:axId val="145788915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788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Region</a:t>
            </a:r>
            <a:r>
              <a:rPr lang="en-GB" baseline="0"/>
              <a:t> Wise Sales and Profit</a:t>
            </a:r>
            <a:r>
              <a:rPr lang="en-GB"/>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ANALYSIS!$B$44</c:f>
              <c:strCache>
                <c:ptCount val="1"/>
                <c:pt idx="0">
                  <c:v>Sum of 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ANALYSIS!$A$45:$A$49</c:f>
              <c:strCache>
                <c:ptCount val="4"/>
                <c:pt idx="0">
                  <c:v>East</c:v>
                </c:pt>
                <c:pt idx="1">
                  <c:v>North</c:v>
                </c:pt>
                <c:pt idx="2">
                  <c:v>South</c:v>
                </c:pt>
                <c:pt idx="3">
                  <c:v>West</c:v>
                </c:pt>
              </c:strCache>
            </c:strRef>
          </c:cat>
          <c:val>
            <c:numRef>
              <c:f>ANALYSIS!$B$45:$B$49</c:f>
              <c:numCache>
                <c:formatCode>"₹"#,##0.00</c:formatCode>
                <c:ptCount val="4"/>
                <c:pt idx="0">
                  <c:v>92854.749999999956</c:v>
                </c:pt>
                <c:pt idx="1">
                  <c:v>97129.51</c:v>
                </c:pt>
                <c:pt idx="2">
                  <c:v>80293.75999999998</c:v>
                </c:pt>
                <c:pt idx="3">
                  <c:v>89134.59</c:v>
                </c:pt>
              </c:numCache>
            </c:numRef>
          </c:val>
          <c:extLst>
            <c:ext xmlns:c16="http://schemas.microsoft.com/office/drawing/2014/chart" uri="{C3380CC4-5D6E-409C-BE32-E72D297353CC}">
              <c16:uniqueId val="{00000000-B1E2-3A4B-82AD-D58368F2B1C2}"/>
            </c:ext>
          </c:extLst>
        </c:ser>
        <c:ser>
          <c:idx val="1"/>
          <c:order val="1"/>
          <c:tx>
            <c:strRef>
              <c:f>ANALYSIS!$C$44</c:f>
              <c:strCache>
                <c:ptCount val="1"/>
                <c:pt idx="0">
                  <c:v>Sum of Sales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ANALYSIS!$A$45:$A$49</c:f>
              <c:strCache>
                <c:ptCount val="4"/>
                <c:pt idx="0">
                  <c:v>East</c:v>
                </c:pt>
                <c:pt idx="1">
                  <c:v>North</c:v>
                </c:pt>
                <c:pt idx="2">
                  <c:v>South</c:v>
                </c:pt>
                <c:pt idx="3">
                  <c:v>West</c:v>
                </c:pt>
              </c:strCache>
            </c:strRef>
          </c:cat>
          <c:val>
            <c:numRef>
              <c:f>ANALYSIS!$C$45:$C$49</c:f>
              <c:numCache>
                <c:formatCode>"₹"#,##0.00</c:formatCode>
                <c:ptCount val="4"/>
                <c:pt idx="0">
                  <c:v>888709.5399999998</c:v>
                </c:pt>
                <c:pt idx="1">
                  <c:v>889350.76000000013</c:v>
                </c:pt>
                <c:pt idx="2">
                  <c:v>794744.14999999991</c:v>
                </c:pt>
                <c:pt idx="3">
                  <c:v>892650.60999999975</c:v>
                </c:pt>
              </c:numCache>
            </c:numRef>
          </c:val>
          <c:extLst>
            <c:ext xmlns:c16="http://schemas.microsoft.com/office/drawing/2014/chart" uri="{C3380CC4-5D6E-409C-BE32-E72D297353CC}">
              <c16:uniqueId val="{00000001-B1E2-3A4B-82AD-D58368F2B1C2}"/>
            </c:ext>
          </c:extLst>
        </c:ser>
        <c:dLbls>
          <c:showLegendKey val="0"/>
          <c:showVal val="0"/>
          <c:showCatName val="0"/>
          <c:showSerName val="0"/>
          <c:showPercent val="0"/>
          <c:showBubbleSize val="0"/>
        </c:dLbls>
        <c:gapWidth val="115"/>
        <c:overlap val="-20"/>
        <c:axId val="1583331328"/>
        <c:axId val="1650913984"/>
      </c:barChart>
      <c:catAx>
        <c:axId val="15833313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0913984"/>
        <c:crosses val="autoZero"/>
        <c:auto val="1"/>
        <c:lblAlgn val="ctr"/>
        <c:lblOffset val="100"/>
        <c:noMultiLvlLbl val="0"/>
      </c:catAx>
      <c:valAx>
        <c:axId val="1650913984"/>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333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[AI_Assisted_Sales_Dashboard_Dataset_1000_Rows.xlsx]ANALYSIS!PivotTable22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 Wise Profit Percentage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ANALYSIS!$B$37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E85-CB4D-A3E3-93B9B6F8724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E85-CB4D-A3E3-93B9B6F872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ANALYSIS!$A$38:$A$40</c:f>
              <c:strCache>
                <c:ptCount val="2"/>
                <c:pt idx="0">
                  <c:v>2024</c:v>
                </c:pt>
                <c:pt idx="1">
                  <c:v>2025</c:v>
                </c:pt>
              </c:strCache>
            </c:strRef>
          </c:cat>
          <c:val>
            <c:numRef>
              <c:f>ANALYSIS!$B$38:$B$40</c:f>
              <c:numCache>
                <c:formatCode>0%</c:formatCode>
                <c:ptCount val="2"/>
                <c:pt idx="0">
                  <c:v>0.11391744637612898</c:v>
                </c:pt>
                <c:pt idx="1">
                  <c:v>9.5117545665689307E-2</c:v>
                </c:pt>
              </c:numCache>
            </c:numRef>
          </c:val>
          <c:extLst>
            <c:ext xmlns:c16="http://schemas.microsoft.com/office/drawing/2014/chart" uri="{C3380CC4-5D6E-409C-BE32-E72D297353CC}">
              <c16:uniqueId val="{00000004-EE85-CB4D-A3E3-93B9B6F8724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wise Sales Contribution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ANALYSIS!$B$73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B33-C84D-857C-58104D248A7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B33-C84D-857C-58104D248A7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B33-C84D-857C-58104D248A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ANALYSIS!$A$74:$A$77</c:f>
              <c:strCache>
                <c:ptCount val="3"/>
                <c:pt idx="0">
                  <c:v>Furniture</c:v>
                </c:pt>
                <c:pt idx="1">
                  <c:v>Office Supplies</c:v>
                </c:pt>
                <c:pt idx="2">
                  <c:v>Technology</c:v>
                </c:pt>
              </c:strCache>
            </c:strRef>
          </c:cat>
          <c:val>
            <c:numRef>
              <c:f>ANALYSIS!$B$74:$B$77</c:f>
              <c:numCache>
                <c:formatCode>"₹"#,##0.00</c:formatCode>
                <c:ptCount val="3"/>
                <c:pt idx="0">
                  <c:v>1140966.9300000004</c:v>
                </c:pt>
                <c:pt idx="1">
                  <c:v>1166785.4600000002</c:v>
                </c:pt>
                <c:pt idx="2">
                  <c:v>1157702.67</c:v>
                </c:pt>
              </c:numCache>
            </c:numRef>
          </c:val>
          <c:extLst>
            <c:ext xmlns:c16="http://schemas.microsoft.com/office/drawing/2014/chart" uri="{C3380CC4-5D6E-409C-BE32-E72D297353CC}">
              <c16:uniqueId val="{00000006-CB33-C84D-857C-58104D248A7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Category Wise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ANALYSIS!$B$80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75C-2943-8F1A-27FC7AF3300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75C-2943-8F1A-27FC7AF3300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75C-2943-8F1A-27FC7AF330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ANALYSIS!$A$81:$A$84</c:f>
              <c:strCache>
                <c:ptCount val="3"/>
                <c:pt idx="0">
                  <c:v>Furniture</c:v>
                </c:pt>
                <c:pt idx="1">
                  <c:v>Office Supplies</c:v>
                </c:pt>
                <c:pt idx="2">
                  <c:v>Technology</c:v>
                </c:pt>
              </c:strCache>
            </c:strRef>
          </c:cat>
          <c:val>
            <c:numRef>
              <c:f>ANALYSIS!$B$81:$B$84</c:f>
              <c:numCache>
                <c:formatCode>"₹"#,##0.00</c:formatCode>
                <c:ptCount val="3"/>
                <c:pt idx="0">
                  <c:v>121478.71000000005</c:v>
                </c:pt>
                <c:pt idx="1">
                  <c:v>119851.33000000006</c:v>
                </c:pt>
                <c:pt idx="2">
                  <c:v>118082.57</c:v>
                </c:pt>
              </c:numCache>
            </c:numRef>
          </c:val>
          <c:extLst>
            <c:ext xmlns:c16="http://schemas.microsoft.com/office/drawing/2014/chart" uri="{C3380CC4-5D6E-409C-BE32-E72D297353CC}">
              <c16:uniqueId val="{00000006-075C-2943-8F1A-27FC7AF3300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Sub Category Wise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ANALYSIS!$A$88:$A$97</c:f>
              <c:strCache>
                <c:ptCount val="9"/>
                <c:pt idx="0">
                  <c:v>Accessories</c:v>
                </c:pt>
                <c:pt idx="1">
                  <c:v>Binders</c:v>
                </c:pt>
                <c:pt idx="2">
                  <c:v>Chairs</c:v>
                </c:pt>
                <c:pt idx="3">
                  <c:v>Computers</c:v>
                </c:pt>
                <c:pt idx="4">
                  <c:v>Paper</c:v>
                </c:pt>
                <c:pt idx="5">
                  <c:v>Phones</c:v>
                </c:pt>
                <c:pt idx="6">
                  <c:v>Storage</c:v>
                </c:pt>
                <c:pt idx="7">
                  <c:v>Tables</c:v>
                </c:pt>
                <c:pt idx="8">
                  <c:v>Writing</c:v>
                </c:pt>
              </c:strCache>
            </c:strRef>
          </c:cat>
          <c:val>
            <c:numRef>
              <c:f>ANALYSIS!$B$88:$B$97</c:f>
              <c:numCache>
                <c:formatCode>"₹"#,##0.00</c:formatCode>
                <c:ptCount val="9"/>
                <c:pt idx="0">
                  <c:v>25246.25</c:v>
                </c:pt>
                <c:pt idx="1">
                  <c:v>49325.99</c:v>
                </c:pt>
                <c:pt idx="2">
                  <c:v>46173.930000000015</c:v>
                </c:pt>
                <c:pt idx="3">
                  <c:v>39902.630000000005</c:v>
                </c:pt>
                <c:pt idx="4">
                  <c:v>33171.500000000007</c:v>
                </c:pt>
                <c:pt idx="5">
                  <c:v>52933.689999999995</c:v>
                </c:pt>
                <c:pt idx="6">
                  <c:v>41800.609999999993</c:v>
                </c:pt>
                <c:pt idx="7">
                  <c:v>33504.17</c:v>
                </c:pt>
                <c:pt idx="8">
                  <c:v>37353.839999999982</c:v>
                </c:pt>
              </c:numCache>
            </c:numRef>
          </c:val>
          <c:extLst>
            <c:ext xmlns:c16="http://schemas.microsoft.com/office/drawing/2014/chart" uri="{C3380CC4-5D6E-409C-BE32-E72D297353CC}">
              <c16:uniqueId val="{00000000-8D97-9641-86F1-E2FA0B5C1988}"/>
            </c:ext>
          </c:extLst>
        </c:ser>
        <c:dLbls>
          <c:showLegendKey val="0"/>
          <c:showVal val="0"/>
          <c:showCatName val="0"/>
          <c:showSerName val="0"/>
          <c:showPercent val="0"/>
          <c:showBubbleSize val="0"/>
        </c:dLbls>
        <c:gapWidth val="115"/>
        <c:overlap val="-20"/>
        <c:axId val="1591265920"/>
        <c:axId val="1591267264"/>
      </c:barChart>
      <c:catAx>
        <c:axId val="15912659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1267264"/>
        <c:crosses val="autoZero"/>
        <c:auto val="1"/>
        <c:lblAlgn val="ctr"/>
        <c:lblOffset val="100"/>
        <c:noMultiLvlLbl val="0"/>
      </c:catAx>
      <c:valAx>
        <c:axId val="1591267264"/>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126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 Wise Sales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ANALYSIS!$B$52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ANALYSIS!$A$53:$A$69</c:f>
              <c:strCache>
                <c:ptCount val="16"/>
                <c:pt idx="0">
                  <c:v>Assam</c:v>
                </c:pt>
                <c:pt idx="1">
                  <c:v>Bihar</c:v>
                </c:pt>
                <c:pt idx="2">
                  <c:v>Delhi</c:v>
                </c:pt>
                <c:pt idx="3">
                  <c:v>Goa</c:v>
                </c:pt>
                <c:pt idx="4">
                  <c:v>Gujarat</c:v>
                </c:pt>
                <c:pt idx="5">
                  <c:v>Haryana</c:v>
                </c:pt>
                <c:pt idx="6">
                  <c:v>Karnataka</c:v>
                </c:pt>
                <c:pt idx="7">
                  <c:v>Kerala</c:v>
                </c:pt>
                <c:pt idx="8">
                  <c:v>Maharashtra</c:v>
                </c:pt>
                <c:pt idx="9">
                  <c:v>Odisha</c:v>
                </c:pt>
                <c:pt idx="10">
                  <c:v>Punjab</c:v>
                </c:pt>
                <c:pt idx="11">
                  <c:v>Rajasthan</c:v>
                </c:pt>
                <c:pt idx="12">
                  <c:v>Tamil Nadu</c:v>
                </c:pt>
                <c:pt idx="13">
                  <c:v>Telangana</c:v>
                </c:pt>
                <c:pt idx="14">
                  <c:v>Uttarakhand</c:v>
                </c:pt>
                <c:pt idx="15">
                  <c:v>West Bengal</c:v>
                </c:pt>
              </c:strCache>
            </c:strRef>
          </c:cat>
          <c:val>
            <c:numRef>
              <c:f>ANALYSIS!$B$53:$B$69</c:f>
              <c:numCache>
                <c:formatCode>"₹"#,##0.00</c:formatCode>
                <c:ptCount val="16"/>
                <c:pt idx="0">
                  <c:v>265975.67</c:v>
                </c:pt>
                <c:pt idx="1">
                  <c:v>192179.78</c:v>
                </c:pt>
                <c:pt idx="2">
                  <c:v>237996.02999999997</c:v>
                </c:pt>
                <c:pt idx="3">
                  <c:v>151554.30999999994</c:v>
                </c:pt>
                <c:pt idx="4">
                  <c:v>246162.09000000003</c:v>
                </c:pt>
                <c:pt idx="5">
                  <c:v>225341.97000000006</c:v>
                </c:pt>
                <c:pt idx="6">
                  <c:v>204109.64999999997</c:v>
                </c:pt>
                <c:pt idx="7">
                  <c:v>155095.1</c:v>
                </c:pt>
                <c:pt idx="8">
                  <c:v>219542.77000000002</c:v>
                </c:pt>
                <c:pt idx="9">
                  <c:v>204747.71999999991</c:v>
                </c:pt>
                <c:pt idx="10">
                  <c:v>226758.06999999992</c:v>
                </c:pt>
                <c:pt idx="11">
                  <c:v>275391.43999999994</c:v>
                </c:pt>
                <c:pt idx="12">
                  <c:v>273789.92000000004</c:v>
                </c:pt>
                <c:pt idx="13">
                  <c:v>161749.47999999998</c:v>
                </c:pt>
                <c:pt idx="14">
                  <c:v>199254.69000000003</c:v>
                </c:pt>
                <c:pt idx="15">
                  <c:v>225806.36999999997</c:v>
                </c:pt>
              </c:numCache>
            </c:numRef>
          </c:val>
          <c:extLst>
            <c:ext xmlns:c16="http://schemas.microsoft.com/office/drawing/2014/chart" uri="{C3380CC4-5D6E-409C-BE32-E72D297353CC}">
              <c16:uniqueId val="{00000000-A65B-F845-94B0-8F2C114FE7E0}"/>
            </c:ext>
          </c:extLst>
        </c:ser>
        <c:dLbls>
          <c:showLegendKey val="0"/>
          <c:showVal val="0"/>
          <c:showCatName val="0"/>
          <c:showSerName val="0"/>
          <c:showPercent val="0"/>
          <c:showBubbleSize val="0"/>
        </c:dLbls>
        <c:gapWidth val="150"/>
        <c:overlap val="100"/>
        <c:axId val="1506980992"/>
        <c:axId val="1659439744"/>
      </c:barChart>
      <c:catAx>
        <c:axId val="15069809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9439744"/>
        <c:crosses val="autoZero"/>
        <c:auto val="1"/>
        <c:lblAlgn val="ctr"/>
        <c:lblOffset val="100"/>
        <c:noMultiLvlLbl val="0"/>
      </c:catAx>
      <c:valAx>
        <c:axId val="1659439744"/>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698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Top 10 products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ANALYSIS!$B$100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ANALYSIS!$A$101:$A$111</c:f>
              <c:strCache>
                <c:ptCount val="10"/>
                <c:pt idx="0">
                  <c:v>A4 Paper</c:v>
                </c:pt>
                <c:pt idx="1">
                  <c:v>Conference Table</c:v>
                </c:pt>
                <c:pt idx="2">
                  <c:v>Document Case</c:v>
                </c:pt>
                <c:pt idx="3">
                  <c:v>File Folder</c:v>
                </c:pt>
                <c:pt idx="4">
                  <c:v>Gaming Chair</c:v>
                </c:pt>
                <c:pt idx="5">
                  <c:v>Headset</c:v>
                </c:pt>
                <c:pt idx="6">
                  <c:v>Keyboard</c:v>
                </c:pt>
                <c:pt idx="7">
                  <c:v>Mini PC</c:v>
                </c:pt>
                <c:pt idx="8">
                  <c:v>Office Chair</c:v>
                </c:pt>
                <c:pt idx="9">
                  <c:v>Smartphone</c:v>
                </c:pt>
              </c:strCache>
            </c:strRef>
          </c:cat>
          <c:val>
            <c:numRef>
              <c:f>ANALYSIS!$B$101:$B$111</c:f>
              <c:numCache>
                <c:formatCode>"₹"#,##0.00</c:formatCode>
                <c:ptCount val="10"/>
                <c:pt idx="0">
                  <c:v>137670.46999999997</c:v>
                </c:pt>
                <c:pt idx="1">
                  <c:v>213389.86000000004</c:v>
                </c:pt>
                <c:pt idx="2">
                  <c:v>133570.01</c:v>
                </c:pt>
                <c:pt idx="3">
                  <c:v>155448.88</c:v>
                </c:pt>
                <c:pt idx="4">
                  <c:v>138350.93</c:v>
                </c:pt>
                <c:pt idx="5">
                  <c:v>165051.09999999998</c:v>
                </c:pt>
                <c:pt idx="6">
                  <c:v>158867.86000000002</c:v>
                </c:pt>
                <c:pt idx="7">
                  <c:v>172205.51999999996</c:v>
                </c:pt>
                <c:pt idx="8">
                  <c:v>132379.78000000003</c:v>
                </c:pt>
                <c:pt idx="9">
                  <c:v>135858.04</c:v>
                </c:pt>
              </c:numCache>
            </c:numRef>
          </c:val>
          <c:extLst>
            <c:ext xmlns:c16="http://schemas.microsoft.com/office/drawing/2014/chart" uri="{C3380CC4-5D6E-409C-BE32-E72D297353CC}">
              <c16:uniqueId val="{00000000-9B0B-8F4C-97B0-D42BC3CAF39D}"/>
            </c:ext>
          </c:extLst>
        </c:ser>
        <c:dLbls>
          <c:showLegendKey val="0"/>
          <c:showVal val="0"/>
          <c:showCatName val="0"/>
          <c:showSerName val="0"/>
          <c:showPercent val="0"/>
          <c:showBubbleSize val="0"/>
        </c:dLbls>
        <c:gapWidth val="115"/>
        <c:overlap val="-20"/>
        <c:axId val="1590964928"/>
        <c:axId val="1590966720"/>
      </c:barChart>
      <c:catAx>
        <c:axId val="15909649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0966720"/>
        <c:crosses val="autoZero"/>
        <c:auto val="1"/>
        <c:lblAlgn val="ctr"/>
        <c:lblOffset val="100"/>
        <c:noMultiLvlLbl val="0"/>
      </c:catAx>
      <c:valAx>
        <c:axId val="1590966720"/>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096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[AI_Assisted_Sales_Dashboard_Dataset_1000_Rows.xlsx]ANALYSIS!PivotTable7</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SalesPerson</a:t>
            </a:r>
            <a:r>
              <a:rPr lang="en-GB" baseline="0"/>
              <a:t> Performance</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ANALYSIS!$B$114</c:f>
              <c:strCache>
                <c:ptCount val="1"/>
                <c:pt idx="0">
                  <c:v>Sum of 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ANALYSIS!$A$115:$A$125</c:f>
              <c:strCache>
                <c:ptCount val="10"/>
                <c:pt idx="0">
                  <c:v>Amit</c:v>
                </c:pt>
                <c:pt idx="1">
                  <c:v>Anjali</c:v>
                </c:pt>
                <c:pt idx="2">
                  <c:v>Karan</c:v>
                </c:pt>
                <c:pt idx="3">
                  <c:v>Neha</c:v>
                </c:pt>
                <c:pt idx="4">
                  <c:v>Pooja</c:v>
                </c:pt>
                <c:pt idx="5">
                  <c:v>Priya</c:v>
                </c:pt>
                <c:pt idx="6">
                  <c:v>Rahul</c:v>
                </c:pt>
                <c:pt idx="7">
                  <c:v>Rohit</c:v>
                </c:pt>
                <c:pt idx="8">
                  <c:v>Sneha</c:v>
                </c:pt>
                <c:pt idx="9">
                  <c:v>Vikram</c:v>
                </c:pt>
              </c:strCache>
            </c:strRef>
          </c:cat>
          <c:val>
            <c:numRef>
              <c:f>ANALYSIS!$B$115:$B$125</c:f>
              <c:numCache>
                <c:formatCode>"₹"#,##0.00</c:formatCode>
                <c:ptCount val="10"/>
                <c:pt idx="0">
                  <c:v>29171.149999999994</c:v>
                </c:pt>
                <c:pt idx="1">
                  <c:v>41843.689999999988</c:v>
                </c:pt>
                <c:pt idx="2">
                  <c:v>19780.25</c:v>
                </c:pt>
                <c:pt idx="3">
                  <c:v>30739.03</c:v>
                </c:pt>
                <c:pt idx="4">
                  <c:v>49074.539999999994</c:v>
                </c:pt>
                <c:pt idx="5">
                  <c:v>42934.02</c:v>
                </c:pt>
                <c:pt idx="6">
                  <c:v>41201.329999999973</c:v>
                </c:pt>
                <c:pt idx="7">
                  <c:v>40639.799999999996</c:v>
                </c:pt>
                <c:pt idx="8">
                  <c:v>38093.599999999999</c:v>
                </c:pt>
                <c:pt idx="9">
                  <c:v>25935.200000000001</c:v>
                </c:pt>
              </c:numCache>
            </c:numRef>
          </c:val>
          <c:extLst>
            <c:ext xmlns:c16="http://schemas.microsoft.com/office/drawing/2014/chart" uri="{C3380CC4-5D6E-409C-BE32-E72D297353CC}">
              <c16:uniqueId val="{00000000-DA84-B94E-8CA5-81790283B4AD}"/>
            </c:ext>
          </c:extLst>
        </c:ser>
        <c:ser>
          <c:idx val="1"/>
          <c:order val="1"/>
          <c:tx>
            <c:strRef>
              <c:f>ANALYSIS!$C$114</c:f>
              <c:strCache>
                <c:ptCount val="1"/>
                <c:pt idx="0">
                  <c:v>Sum of Sales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ANALYSIS!$A$115:$A$125</c:f>
              <c:strCache>
                <c:ptCount val="10"/>
                <c:pt idx="0">
                  <c:v>Amit</c:v>
                </c:pt>
                <c:pt idx="1">
                  <c:v>Anjali</c:v>
                </c:pt>
                <c:pt idx="2">
                  <c:v>Karan</c:v>
                </c:pt>
                <c:pt idx="3">
                  <c:v>Neha</c:v>
                </c:pt>
                <c:pt idx="4">
                  <c:v>Pooja</c:v>
                </c:pt>
                <c:pt idx="5">
                  <c:v>Priya</c:v>
                </c:pt>
                <c:pt idx="6">
                  <c:v>Rahul</c:v>
                </c:pt>
                <c:pt idx="7">
                  <c:v>Rohit</c:v>
                </c:pt>
                <c:pt idx="8">
                  <c:v>Sneha</c:v>
                </c:pt>
                <c:pt idx="9">
                  <c:v>Vikram</c:v>
                </c:pt>
              </c:strCache>
            </c:strRef>
          </c:cat>
          <c:val>
            <c:numRef>
              <c:f>ANALYSIS!$C$115:$C$125</c:f>
              <c:numCache>
                <c:formatCode>"₹"#,##0.00</c:formatCode>
                <c:ptCount val="10"/>
                <c:pt idx="0">
                  <c:v>350695.37999999989</c:v>
                </c:pt>
                <c:pt idx="1">
                  <c:v>341609.5799999999</c:v>
                </c:pt>
                <c:pt idx="2">
                  <c:v>311338.44</c:v>
                </c:pt>
                <c:pt idx="3">
                  <c:v>279640.78999999998</c:v>
                </c:pt>
                <c:pt idx="4">
                  <c:v>405495.69000000006</c:v>
                </c:pt>
                <c:pt idx="5">
                  <c:v>351157.02</c:v>
                </c:pt>
                <c:pt idx="6">
                  <c:v>374029.37000000005</c:v>
                </c:pt>
                <c:pt idx="7">
                  <c:v>395387.20999999996</c:v>
                </c:pt>
                <c:pt idx="8">
                  <c:v>321778.47000000015</c:v>
                </c:pt>
                <c:pt idx="9">
                  <c:v>334323.11000000004</c:v>
                </c:pt>
              </c:numCache>
            </c:numRef>
          </c:val>
          <c:extLst>
            <c:ext xmlns:c16="http://schemas.microsoft.com/office/drawing/2014/chart" uri="{C3380CC4-5D6E-409C-BE32-E72D297353CC}">
              <c16:uniqueId val="{00000001-DA84-B94E-8CA5-81790283B4AD}"/>
            </c:ext>
          </c:extLst>
        </c:ser>
        <c:ser>
          <c:idx val="2"/>
          <c:order val="2"/>
          <c:tx>
            <c:strRef>
              <c:f>ANALYSIS!$D$114</c:f>
              <c:strCache>
                <c:ptCount val="1"/>
                <c:pt idx="0">
                  <c:v>Average of Profit Margin %</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ANALYSIS!$A$115:$A$125</c:f>
              <c:strCache>
                <c:ptCount val="10"/>
                <c:pt idx="0">
                  <c:v>Amit</c:v>
                </c:pt>
                <c:pt idx="1">
                  <c:v>Anjali</c:v>
                </c:pt>
                <c:pt idx="2">
                  <c:v>Karan</c:v>
                </c:pt>
                <c:pt idx="3">
                  <c:v>Neha</c:v>
                </c:pt>
                <c:pt idx="4">
                  <c:v>Pooja</c:v>
                </c:pt>
                <c:pt idx="5">
                  <c:v>Priya</c:v>
                </c:pt>
                <c:pt idx="6">
                  <c:v>Rahul</c:v>
                </c:pt>
                <c:pt idx="7">
                  <c:v>Rohit</c:v>
                </c:pt>
                <c:pt idx="8">
                  <c:v>Sneha</c:v>
                </c:pt>
                <c:pt idx="9">
                  <c:v>Vikram</c:v>
                </c:pt>
              </c:strCache>
            </c:strRef>
          </c:cat>
          <c:val>
            <c:numRef>
              <c:f>ANALYSIS!$D$115:$D$125</c:f>
              <c:numCache>
                <c:formatCode>0%</c:formatCode>
                <c:ptCount val="10"/>
                <c:pt idx="0">
                  <c:v>8.2172176020338134E-2</c:v>
                </c:pt>
                <c:pt idx="1">
                  <c:v>0.11457281943573722</c:v>
                </c:pt>
                <c:pt idx="2">
                  <c:v>8.6748318609130168E-2</c:v>
                </c:pt>
                <c:pt idx="3">
                  <c:v>0.1078559076071588</c:v>
                </c:pt>
                <c:pt idx="4">
                  <c:v>0.1158356447020254</c:v>
                </c:pt>
                <c:pt idx="5">
                  <c:v>0.11142088085511498</c:v>
                </c:pt>
                <c:pt idx="6">
                  <c:v>0.12279224424136469</c:v>
                </c:pt>
                <c:pt idx="7">
                  <c:v>9.9902341754912513E-2</c:v>
                </c:pt>
                <c:pt idx="8">
                  <c:v>0.11635302877962329</c:v>
                </c:pt>
                <c:pt idx="9">
                  <c:v>9.124174530745717E-2</c:v>
                </c:pt>
              </c:numCache>
            </c:numRef>
          </c:val>
          <c:extLst>
            <c:ext xmlns:c16="http://schemas.microsoft.com/office/drawing/2014/chart" uri="{C3380CC4-5D6E-409C-BE32-E72D297353CC}">
              <c16:uniqueId val="{00000002-DA84-B94E-8CA5-81790283B4AD}"/>
            </c:ext>
          </c:extLst>
        </c:ser>
        <c:dLbls>
          <c:showLegendKey val="0"/>
          <c:showVal val="1"/>
          <c:showCatName val="0"/>
          <c:showSerName val="0"/>
          <c:showPercent val="0"/>
          <c:showBubbleSize val="0"/>
        </c:dLbls>
        <c:gapWidth val="150"/>
        <c:overlap val="-25"/>
        <c:axId val="1584685376"/>
        <c:axId val="1586094848"/>
      </c:barChart>
      <c:catAx>
        <c:axId val="1584685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6094848"/>
        <c:crosses val="autoZero"/>
        <c:auto val="1"/>
        <c:lblAlgn val="ctr"/>
        <c:lblOffset val="100"/>
        <c:noMultiLvlLbl val="0"/>
      </c:catAx>
      <c:valAx>
        <c:axId val="1586094848"/>
        <c:scaling>
          <c:orientation val="minMax"/>
        </c:scaling>
        <c:delete val="1"/>
        <c:axPos val="l"/>
        <c:numFmt formatCode="&quot;₹&quot;#,##0.00" sourceLinked="1"/>
        <c:majorTickMark val="none"/>
        <c:minorTickMark val="none"/>
        <c:tickLblPos val="nextTo"/>
        <c:crossAx val="15846853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[AI_Assisted_Sales_Dashboard_Dataset_1000_Rows.xlsx]ANALYSIS!PivotTable9</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Discount Bucket vs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ANALYSIS!$B$136</c:f>
              <c:strCache>
                <c:ptCount val="1"/>
                <c:pt idx="0">
                  <c:v>Sum of 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ANALYSIS!$A$137:$A$141</c:f>
              <c:strCache>
                <c:ptCount val="4"/>
                <c:pt idx="0">
                  <c:v>High (21-30%)</c:v>
                </c:pt>
                <c:pt idx="1">
                  <c:v>Low (1-10%)</c:v>
                </c:pt>
                <c:pt idx="2">
                  <c:v>Medium (11-20%)</c:v>
                </c:pt>
                <c:pt idx="3">
                  <c:v>No Discount</c:v>
                </c:pt>
              </c:strCache>
            </c:strRef>
          </c:cat>
          <c:val>
            <c:numRef>
              <c:f>ANALYSIS!$B$137:$B$141</c:f>
              <c:numCache>
                <c:formatCode>"₹"#,##0.00</c:formatCode>
                <c:ptCount val="4"/>
                <c:pt idx="0">
                  <c:v>-28992.349999999962</c:v>
                </c:pt>
                <c:pt idx="1">
                  <c:v>183543.58999999994</c:v>
                </c:pt>
                <c:pt idx="2">
                  <c:v>78936.389999999912</c:v>
                </c:pt>
                <c:pt idx="3">
                  <c:v>125924.98000000003</c:v>
                </c:pt>
              </c:numCache>
            </c:numRef>
          </c:val>
          <c:extLst>
            <c:ext xmlns:c16="http://schemas.microsoft.com/office/drawing/2014/chart" uri="{C3380CC4-5D6E-409C-BE32-E72D297353CC}">
              <c16:uniqueId val="{00000000-F8D5-B34C-A083-DF950412DA48}"/>
            </c:ext>
          </c:extLst>
        </c:ser>
        <c:dLbls>
          <c:showLegendKey val="0"/>
          <c:showVal val="0"/>
          <c:showCatName val="0"/>
          <c:showSerName val="0"/>
          <c:showPercent val="0"/>
          <c:showBubbleSize val="0"/>
        </c:dLbls>
        <c:gapWidth val="150"/>
        <c:axId val="1582816704"/>
        <c:axId val="1590281088"/>
      </c:barChart>
      <c:lineChart>
        <c:grouping val="standard"/>
        <c:varyColors val="0"/>
        <c:ser>
          <c:idx val="1"/>
          <c:order val="1"/>
          <c:tx>
            <c:strRef>
              <c:f>ANALYSIS!$C$136</c:f>
              <c:strCache>
                <c:ptCount val="1"/>
                <c:pt idx="0">
                  <c:v>Average of Profit Margin %</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strRef>
              <c:f>ANALYSIS!$A$137:$A$141</c:f>
              <c:strCache>
                <c:ptCount val="4"/>
                <c:pt idx="0">
                  <c:v>High (21-30%)</c:v>
                </c:pt>
                <c:pt idx="1">
                  <c:v>Low (1-10%)</c:v>
                </c:pt>
                <c:pt idx="2">
                  <c:v>Medium (11-20%)</c:v>
                </c:pt>
                <c:pt idx="3">
                  <c:v>No Discount</c:v>
                </c:pt>
              </c:strCache>
            </c:strRef>
          </c:cat>
          <c:val>
            <c:numRef>
              <c:f>ANALYSIS!$C$137:$C$141</c:f>
              <c:numCache>
                <c:formatCode>0%</c:formatCode>
                <c:ptCount val="4"/>
                <c:pt idx="0">
                  <c:v>-2.6924958044280356E-2</c:v>
                </c:pt>
                <c:pt idx="1">
                  <c:v>0.18064966339974686</c:v>
                </c:pt>
                <c:pt idx="2">
                  <c:v>7.6577322704836331E-2</c:v>
                </c:pt>
                <c:pt idx="3">
                  <c:v>0.25804514911638204</c:v>
                </c:pt>
              </c:numCache>
            </c:numRef>
          </c:val>
          <c:smooth val="0"/>
          <c:extLst>
            <c:ext xmlns:c16="http://schemas.microsoft.com/office/drawing/2014/chart" uri="{C3380CC4-5D6E-409C-BE32-E72D297353CC}">
              <c16:uniqueId val="{00000001-F8D5-B34C-A083-DF950412DA48}"/>
            </c:ext>
          </c:extLst>
        </c:ser>
        <c:dLbls>
          <c:showLegendKey val="0"/>
          <c:showVal val="0"/>
          <c:showCatName val="0"/>
          <c:showSerName val="0"/>
          <c:showPercent val="0"/>
          <c:showBubbleSize val="0"/>
        </c:dLbls>
        <c:marker val="1"/>
        <c:smooth val="0"/>
        <c:axId val="1582816704"/>
        <c:axId val="1590281088"/>
      </c:lineChart>
      <c:catAx>
        <c:axId val="15828167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0281088"/>
        <c:crosses val="autoZero"/>
        <c:auto val="1"/>
        <c:lblAlgn val="ctr"/>
        <c:lblOffset val="100"/>
        <c:noMultiLvlLbl val="0"/>
      </c:catAx>
      <c:valAx>
        <c:axId val="159028108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281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[AI_Assisted_Sales_Dashboard_Dataset_1000_Rows.xlsx]ANALYSIS!PivotTable8</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Segment</a:t>
            </a:r>
            <a:r>
              <a:rPr lang="en-GB" baseline="0"/>
              <a:t> Wise Sales and Profit</a:t>
            </a:r>
            <a:r>
              <a:rPr lang="en-GB"/>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ANALYSIS!$B$128</c:f>
              <c:strCache>
                <c:ptCount val="1"/>
                <c:pt idx="0">
                  <c:v>Sum of 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ANALYSIS!$A$129:$A$133</c:f>
              <c:strCache>
                <c:ptCount val="4"/>
                <c:pt idx="0">
                  <c:v>Consumer</c:v>
                </c:pt>
                <c:pt idx="1">
                  <c:v>Corporate</c:v>
                </c:pt>
                <c:pt idx="2">
                  <c:v>Home Office</c:v>
                </c:pt>
                <c:pt idx="3">
                  <c:v>Small Business</c:v>
                </c:pt>
              </c:strCache>
            </c:strRef>
          </c:cat>
          <c:val>
            <c:numRef>
              <c:f>ANALYSIS!$B$129:$B$133</c:f>
              <c:numCache>
                <c:formatCode>"₹"#,##0.00</c:formatCode>
                <c:ptCount val="4"/>
                <c:pt idx="0">
                  <c:v>90641.600000000035</c:v>
                </c:pt>
                <c:pt idx="1">
                  <c:v>98211.749999999927</c:v>
                </c:pt>
                <c:pt idx="2">
                  <c:v>98224.429999999964</c:v>
                </c:pt>
                <c:pt idx="3">
                  <c:v>72334.829999999914</c:v>
                </c:pt>
              </c:numCache>
            </c:numRef>
          </c:val>
          <c:extLst>
            <c:ext xmlns:c16="http://schemas.microsoft.com/office/drawing/2014/chart" uri="{C3380CC4-5D6E-409C-BE32-E72D297353CC}">
              <c16:uniqueId val="{00000000-EDE7-0540-A885-75BA0FD3BFCF}"/>
            </c:ext>
          </c:extLst>
        </c:ser>
        <c:ser>
          <c:idx val="1"/>
          <c:order val="1"/>
          <c:tx>
            <c:strRef>
              <c:f>ANALYSIS!$C$128</c:f>
              <c:strCache>
                <c:ptCount val="1"/>
                <c:pt idx="0">
                  <c:v>Sum of Sales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ANALYSIS!$A$129:$A$133</c:f>
              <c:strCache>
                <c:ptCount val="4"/>
                <c:pt idx="0">
                  <c:v>Consumer</c:v>
                </c:pt>
                <c:pt idx="1">
                  <c:v>Corporate</c:v>
                </c:pt>
                <c:pt idx="2">
                  <c:v>Home Office</c:v>
                </c:pt>
                <c:pt idx="3">
                  <c:v>Small Business</c:v>
                </c:pt>
              </c:strCache>
            </c:strRef>
          </c:cat>
          <c:val>
            <c:numRef>
              <c:f>ANALYSIS!$C$129:$C$133</c:f>
              <c:numCache>
                <c:formatCode>"₹"#,##0.00</c:formatCode>
                <c:ptCount val="4"/>
                <c:pt idx="0">
                  <c:v>917791.49999999953</c:v>
                </c:pt>
                <c:pt idx="1">
                  <c:v>841316.08999999985</c:v>
                </c:pt>
                <c:pt idx="2">
                  <c:v>893221.53</c:v>
                </c:pt>
                <c:pt idx="3">
                  <c:v>813125.93999999971</c:v>
                </c:pt>
              </c:numCache>
            </c:numRef>
          </c:val>
          <c:extLst>
            <c:ext xmlns:c16="http://schemas.microsoft.com/office/drawing/2014/chart" uri="{C3380CC4-5D6E-409C-BE32-E72D297353CC}">
              <c16:uniqueId val="{00000001-EDE7-0540-A885-75BA0FD3BFCF}"/>
            </c:ext>
          </c:extLst>
        </c:ser>
        <c:dLbls>
          <c:showLegendKey val="0"/>
          <c:showVal val="0"/>
          <c:showCatName val="0"/>
          <c:showSerName val="0"/>
          <c:showPercent val="0"/>
          <c:showBubbleSize val="0"/>
        </c:dLbls>
        <c:gapWidth val="150"/>
        <c:axId val="1590602688"/>
        <c:axId val="1590597760"/>
      </c:barChart>
      <c:catAx>
        <c:axId val="15906026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0597760"/>
        <c:crosses val="autoZero"/>
        <c:auto val="1"/>
        <c:lblAlgn val="ctr"/>
        <c:lblOffset val="100"/>
        <c:noMultiLvlLbl val="0"/>
      </c:catAx>
      <c:valAx>
        <c:axId val="159059776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060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5.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5</xdr:col>
      <xdr:colOff>376262</xdr:colOff>
      <xdr:row>0</xdr:row>
      <xdr:rowOff>94965</xdr:rowOff>
    </xdr:from>
    <xdr:to>
      <xdr:col>14</xdr:col>
      <xdr:colOff>249261</xdr:colOff>
      <xdr:row>16</xdr:row>
      <xdr:rowOff>82265</xdr:rowOff>
    </xdr:to>
    <xdr:graphicFrame macro="">
      <xdr:nvGraphicFramePr>
        <xdr:cNvPr id="2" name="Chart 1">
          <a:extLst>
            <a:ext uri="{FF2B5EF4-FFF2-40B4-BE49-F238E27FC236}">
              <a16:creationId xmlns:a16="http://schemas.microsoft.com/office/drawing/2014/main" id="{914D5A84-AB8A-E1DF-4152-541C6BE19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38669</xdr:colOff>
      <xdr:row>16</xdr:row>
      <xdr:rowOff>164342</xdr:rowOff>
    </xdr:from>
    <xdr:to>
      <xdr:col>11</xdr:col>
      <xdr:colOff>809008</xdr:colOff>
      <xdr:row>32</xdr:row>
      <xdr:rowOff>63690</xdr:rowOff>
    </xdr:to>
    <xdr:graphicFrame macro="">
      <xdr:nvGraphicFramePr>
        <xdr:cNvPr id="3" name="Chart 2">
          <a:extLst>
            <a:ext uri="{FF2B5EF4-FFF2-40B4-BE49-F238E27FC236}">
              <a16:creationId xmlns:a16="http://schemas.microsoft.com/office/drawing/2014/main" id="{CB881137-DADD-9197-C445-ADD28CD7AB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563160</xdr:colOff>
      <xdr:row>33</xdr:row>
      <xdr:rowOff>50990</xdr:rowOff>
    </xdr:from>
    <xdr:to>
      <xdr:col>8</xdr:col>
      <xdr:colOff>211541</xdr:colOff>
      <xdr:row>47</xdr:row>
      <xdr:rowOff>127191</xdr:rowOff>
    </xdr:to>
    <xdr:graphicFrame macro="">
      <xdr:nvGraphicFramePr>
        <xdr:cNvPr id="4" name="Chart 3">
          <a:extLst>
            <a:ext uri="{FF2B5EF4-FFF2-40B4-BE49-F238E27FC236}">
              <a16:creationId xmlns:a16="http://schemas.microsoft.com/office/drawing/2014/main" id="{C442CE66-B40D-0348-A8D2-04B939B99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720299</xdr:colOff>
      <xdr:row>35</xdr:row>
      <xdr:rowOff>164911</xdr:rowOff>
    </xdr:from>
    <xdr:to>
      <xdr:col>19</xdr:col>
      <xdr:colOff>597469</xdr:colOff>
      <xdr:row>50</xdr:row>
      <xdr:rowOff>50611</xdr:rowOff>
    </xdr:to>
    <xdr:graphicFrame macro="">
      <xdr:nvGraphicFramePr>
        <xdr:cNvPr id="5" name="Chart 4">
          <a:extLst>
            <a:ext uri="{FF2B5EF4-FFF2-40B4-BE49-F238E27FC236}">
              <a16:creationId xmlns:a16="http://schemas.microsoft.com/office/drawing/2014/main" id="{5A2BCED6-7E32-52DB-FF34-1BF2CD302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817538</xdr:colOff>
      <xdr:row>51</xdr:row>
      <xdr:rowOff>18955</xdr:rowOff>
    </xdr:from>
    <xdr:to>
      <xdr:col>11</xdr:col>
      <xdr:colOff>18954</xdr:colOff>
      <xdr:row>76</xdr:row>
      <xdr:rowOff>7772</xdr:rowOff>
    </xdr:to>
    <xdr:graphicFrame macro="">
      <xdr:nvGraphicFramePr>
        <xdr:cNvPr id="7" name="Chart 6">
          <a:extLst>
            <a:ext uri="{FF2B5EF4-FFF2-40B4-BE49-F238E27FC236}">
              <a16:creationId xmlns:a16="http://schemas.microsoft.com/office/drawing/2014/main" id="{D21E3B38-D88B-7764-5386-CD3C2BFA8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386687</xdr:colOff>
      <xdr:row>57</xdr:row>
      <xdr:rowOff>59519</xdr:rowOff>
    </xdr:from>
    <xdr:to>
      <xdr:col>16</xdr:col>
      <xdr:colOff>56866</xdr:colOff>
      <xdr:row>75</xdr:row>
      <xdr:rowOff>75821</xdr:rowOff>
    </xdr:to>
    <xdr:graphicFrame macro="">
      <xdr:nvGraphicFramePr>
        <xdr:cNvPr id="8" name="Chart 7">
          <a:extLst>
            <a:ext uri="{FF2B5EF4-FFF2-40B4-BE49-F238E27FC236}">
              <a16:creationId xmlns:a16="http://schemas.microsoft.com/office/drawing/2014/main" id="{D6D9D248-7E01-CBE4-8553-F106ECCE4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348776</xdr:colOff>
      <xdr:row>57</xdr:row>
      <xdr:rowOff>21607</xdr:rowOff>
    </xdr:from>
    <xdr:to>
      <xdr:col>20</xdr:col>
      <xdr:colOff>625522</xdr:colOff>
      <xdr:row>74</xdr:row>
      <xdr:rowOff>170596</xdr:rowOff>
    </xdr:to>
    <xdr:graphicFrame macro="">
      <xdr:nvGraphicFramePr>
        <xdr:cNvPr id="10" name="Chart 9">
          <a:extLst>
            <a:ext uri="{FF2B5EF4-FFF2-40B4-BE49-F238E27FC236}">
              <a16:creationId xmlns:a16="http://schemas.microsoft.com/office/drawing/2014/main" id="{06B571B4-D62B-786D-2DEB-B682069CB5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576239</xdr:colOff>
      <xdr:row>78</xdr:row>
      <xdr:rowOff>78472</xdr:rowOff>
    </xdr:from>
    <xdr:to>
      <xdr:col>11</xdr:col>
      <xdr:colOff>796119</xdr:colOff>
      <xdr:row>99</xdr:row>
      <xdr:rowOff>132685</xdr:rowOff>
    </xdr:to>
    <xdr:graphicFrame macro="">
      <xdr:nvGraphicFramePr>
        <xdr:cNvPr id="12" name="Chart 11">
          <a:extLst>
            <a:ext uri="{FF2B5EF4-FFF2-40B4-BE49-F238E27FC236}">
              <a16:creationId xmlns:a16="http://schemas.microsoft.com/office/drawing/2014/main" id="{4D9605CC-7529-E3E8-F07C-356E4521F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503484</xdr:colOff>
      <xdr:row>78</xdr:row>
      <xdr:rowOff>154016</xdr:rowOff>
    </xdr:from>
    <xdr:to>
      <xdr:col>21</xdr:col>
      <xdr:colOff>515135</xdr:colOff>
      <xdr:row>95</xdr:row>
      <xdr:rowOff>170317</xdr:rowOff>
    </xdr:to>
    <xdr:graphicFrame macro="">
      <xdr:nvGraphicFramePr>
        <xdr:cNvPr id="13" name="Chart 12">
          <a:extLst>
            <a:ext uri="{FF2B5EF4-FFF2-40B4-BE49-F238E27FC236}">
              <a16:creationId xmlns:a16="http://schemas.microsoft.com/office/drawing/2014/main" id="{16C375FA-D524-27AD-D32F-384EF4374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680358</xdr:colOff>
      <xdr:row>101</xdr:row>
      <xdr:rowOff>127248</xdr:rowOff>
    </xdr:from>
    <xdr:to>
      <xdr:col>15</xdr:col>
      <xdr:colOff>118534</xdr:colOff>
      <xdr:row>148</xdr:row>
      <xdr:rowOff>152400</xdr:rowOff>
    </xdr:to>
    <xdr:graphicFrame macro="">
      <xdr:nvGraphicFramePr>
        <xdr:cNvPr id="14" name="Chart 13">
          <a:extLst>
            <a:ext uri="{FF2B5EF4-FFF2-40B4-BE49-F238E27FC236}">
              <a16:creationId xmlns:a16="http://schemas.microsoft.com/office/drawing/2014/main" id="{586DE546-4CBC-285F-797F-8D832EAFB1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508000</xdr:colOff>
      <xdr:row>108</xdr:row>
      <xdr:rowOff>118533</xdr:rowOff>
    </xdr:from>
    <xdr:to>
      <xdr:col>22</xdr:col>
      <xdr:colOff>778934</xdr:colOff>
      <xdr:row>136</xdr:row>
      <xdr:rowOff>101600</xdr:rowOff>
    </xdr:to>
    <xdr:graphicFrame macro="">
      <xdr:nvGraphicFramePr>
        <xdr:cNvPr id="15" name="Chart 14">
          <a:extLst>
            <a:ext uri="{FF2B5EF4-FFF2-40B4-BE49-F238E27FC236}">
              <a16:creationId xmlns:a16="http://schemas.microsoft.com/office/drawing/2014/main" id="{35680FF3-B89E-97A4-7F59-B3C912488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558799</xdr:colOff>
      <xdr:row>141</xdr:row>
      <xdr:rowOff>25399</xdr:rowOff>
    </xdr:from>
    <xdr:to>
      <xdr:col>24</xdr:col>
      <xdr:colOff>304800</xdr:colOff>
      <xdr:row>166</xdr:row>
      <xdr:rowOff>50799</xdr:rowOff>
    </xdr:to>
    <xdr:graphicFrame macro="">
      <xdr:nvGraphicFramePr>
        <xdr:cNvPr id="16" name="Chart 15">
          <a:extLst>
            <a:ext uri="{FF2B5EF4-FFF2-40B4-BE49-F238E27FC236}">
              <a16:creationId xmlns:a16="http://schemas.microsoft.com/office/drawing/2014/main" id="{F1B85D97-94D1-D038-0131-4E7C26934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0</xdr:colOff>
      <xdr:row>151</xdr:row>
      <xdr:rowOff>0</xdr:rowOff>
    </xdr:from>
    <xdr:to>
      <xdr:col>15</xdr:col>
      <xdr:colOff>237067</xdr:colOff>
      <xdr:row>180</xdr:row>
      <xdr:rowOff>33867</xdr:rowOff>
    </xdr:to>
    <xdr:graphicFrame macro="">
      <xdr:nvGraphicFramePr>
        <xdr:cNvPr id="17" name="Chart 16">
          <a:extLst>
            <a:ext uri="{FF2B5EF4-FFF2-40B4-BE49-F238E27FC236}">
              <a16:creationId xmlns:a16="http://schemas.microsoft.com/office/drawing/2014/main" id="{E28AA12D-B0CE-6542-9805-184D5FF59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34</xdr:col>
      <xdr:colOff>537634</xdr:colOff>
      <xdr:row>166</xdr:row>
      <xdr:rowOff>169333</xdr:rowOff>
    </xdr:from>
    <xdr:to>
      <xdr:col>37</xdr:col>
      <xdr:colOff>588434</xdr:colOff>
      <xdr:row>179</xdr:row>
      <xdr:rowOff>176736</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27DC3991-1221-ACF4-7F7F-BA3614BDB51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622277" y="30286476"/>
              <a:ext cx="1819728" cy="23659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410633</xdr:colOff>
      <xdr:row>167</xdr:row>
      <xdr:rowOff>8467</xdr:rowOff>
    </xdr:from>
    <xdr:to>
      <xdr:col>34</xdr:col>
      <xdr:colOff>461434</xdr:colOff>
      <xdr:row>180</xdr:row>
      <xdr:rowOff>15869</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03AE416B-F1C0-070D-8D07-15C8E94A014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726347" y="30307038"/>
              <a:ext cx="1819730" cy="23659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249766</xdr:colOff>
      <xdr:row>167</xdr:row>
      <xdr:rowOff>33867</xdr:rowOff>
    </xdr:from>
    <xdr:to>
      <xdr:col>31</xdr:col>
      <xdr:colOff>300565</xdr:colOff>
      <xdr:row>180</xdr:row>
      <xdr:rowOff>41269</xdr:rowOff>
    </xdr:to>
    <mc:AlternateContent xmlns:mc="http://schemas.openxmlformats.org/markup-compatibility/2006" xmlns:a14="http://schemas.microsoft.com/office/drawing/2010/main">
      <mc:Choice Requires="a14">
        <xdr:graphicFrame macro="">
          <xdr:nvGraphicFramePr>
            <xdr:cNvPr id="20" name="Sales Person">
              <a:extLst>
                <a:ext uri="{FF2B5EF4-FFF2-40B4-BE49-F238E27FC236}">
                  <a16:creationId xmlns:a16="http://schemas.microsoft.com/office/drawing/2014/main" id="{3EBC096A-3ACE-39D0-27DC-2D7EC24ABFCE}"/>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20796552" y="30332438"/>
              <a:ext cx="1819727" cy="23659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105834</xdr:colOff>
      <xdr:row>167</xdr:row>
      <xdr:rowOff>8467</xdr:rowOff>
    </xdr:from>
    <xdr:to>
      <xdr:col>28</xdr:col>
      <xdr:colOff>156634</xdr:colOff>
      <xdr:row>180</xdr:row>
      <xdr:rowOff>15869</xdr:rowOff>
    </xdr:to>
    <mc:AlternateContent xmlns:mc="http://schemas.openxmlformats.org/markup-compatibility/2006" xmlns:a14="http://schemas.microsoft.com/office/drawing/2010/main">
      <mc:Choice Requires="a14">
        <xdr:graphicFrame macro="">
          <xdr:nvGraphicFramePr>
            <xdr:cNvPr id="21" name="Segment">
              <a:extLst>
                <a:ext uri="{FF2B5EF4-FFF2-40B4-BE49-F238E27FC236}">
                  <a16:creationId xmlns:a16="http://schemas.microsoft.com/office/drawing/2014/main" id="{E330670D-2B01-A155-7431-566257A7E43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8883691" y="30307038"/>
              <a:ext cx="1819729" cy="23659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554567</xdr:colOff>
      <xdr:row>167</xdr:row>
      <xdr:rowOff>16934</xdr:rowOff>
    </xdr:from>
    <xdr:to>
      <xdr:col>25</xdr:col>
      <xdr:colOff>12701</xdr:colOff>
      <xdr:row>180</xdr:row>
      <xdr:rowOff>24336</xdr:rowOff>
    </xdr:to>
    <mc:AlternateContent xmlns:mc="http://schemas.openxmlformats.org/markup-compatibility/2006" xmlns:a14="http://schemas.microsoft.com/office/drawing/2010/main">
      <mc:Choice Requires="a14">
        <xdr:graphicFrame macro="">
          <xdr:nvGraphicFramePr>
            <xdr:cNvPr id="22" name="Year">
              <a:extLst>
                <a:ext uri="{FF2B5EF4-FFF2-40B4-BE49-F238E27FC236}">
                  <a16:creationId xmlns:a16="http://schemas.microsoft.com/office/drawing/2014/main" id="{322E447B-2024-10B1-C23B-AC2827EB741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973853" y="30315505"/>
              <a:ext cx="1816705" cy="23659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478367</xdr:colOff>
      <xdr:row>166</xdr:row>
      <xdr:rowOff>177800</xdr:rowOff>
    </xdr:from>
    <xdr:to>
      <xdr:col>21</xdr:col>
      <xdr:colOff>427568</xdr:colOff>
      <xdr:row>180</xdr:row>
      <xdr:rowOff>3774</xdr:rowOff>
    </xdr:to>
    <mc:AlternateContent xmlns:mc="http://schemas.openxmlformats.org/markup-compatibility/2006" xmlns:a14="http://schemas.microsoft.com/office/drawing/2010/main">
      <mc:Choice Requires="a14">
        <xdr:graphicFrame macro="">
          <xdr:nvGraphicFramePr>
            <xdr:cNvPr id="23" name="Month">
              <a:extLst>
                <a:ext uri="{FF2B5EF4-FFF2-40B4-BE49-F238E27FC236}">
                  <a16:creationId xmlns:a16="http://schemas.microsoft.com/office/drawing/2014/main" id="{25396815-31BE-FAA4-6870-10B31DDEEBF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015331" y="30294943"/>
              <a:ext cx="1831523" cy="23659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622299</xdr:colOff>
      <xdr:row>167</xdr:row>
      <xdr:rowOff>0</xdr:rowOff>
    </xdr:from>
    <xdr:to>
      <xdr:col>18</xdr:col>
      <xdr:colOff>368298</xdr:colOff>
      <xdr:row>180</xdr:row>
      <xdr:rowOff>7402</xdr:rowOff>
    </xdr:to>
    <mc:AlternateContent xmlns:mc="http://schemas.openxmlformats.org/markup-compatibility/2006" xmlns:a14="http://schemas.microsoft.com/office/drawing/2010/main">
      <mc:Choice Requires="a14">
        <xdr:graphicFrame macro="">
          <xdr:nvGraphicFramePr>
            <xdr:cNvPr id="24" name="Discount Bucket">
              <a:extLst>
                <a:ext uri="{FF2B5EF4-FFF2-40B4-BE49-F238E27FC236}">
                  <a16:creationId xmlns:a16="http://schemas.microsoft.com/office/drawing/2014/main" id="{7F7AC676-1CDF-54F2-2CC8-6372F895DC33}"/>
                </a:ext>
              </a:extLst>
            </xdr:cNvPr>
            <xdr:cNvGraphicFramePr/>
          </xdr:nvGraphicFramePr>
          <xdr:xfrm>
            <a:off x="0" y="0"/>
            <a:ext cx="0" cy="0"/>
          </xdr:xfrm>
          <a:graphic>
            <a:graphicData uri="http://schemas.microsoft.com/office/drawing/2010/slicer">
              <sle:slicer xmlns:sle="http://schemas.microsoft.com/office/drawing/2010/slicer" name="Discount Bucket"/>
            </a:graphicData>
          </a:graphic>
        </xdr:graphicFrame>
      </mc:Choice>
      <mc:Fallback xmlns="">
        <xdr:sp macro="" textlink="">
          <xdr:nvSpPr>
            <xdr:cNvPr id="0" name=""/>
            <xdr:cNvSpPr>
              <a:spLocks noTextEdit="1"/>
            </xdr:cNvSpPr>
          </xdr:nvSpPr>
          <xdr:spPr>
            <a:xfrm>
              <a:off x="13050156" y="30298571"/>
              <a:ext cx="1855106" cy="23659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214573</xdr:colOff>
      <xdr:row>3</xdr:row>
      <xdr:rowOff>0</xdr:rowOff>
    </xdr:from>
    <xdr:to>
      <xdr:col>3</xdr:col>
      <xdr:colOff>761987</xdr:colOff>
      <xdr:row>8</xdr:row>
      <xdr:rowOff>14597</xdr:rowOff>
    </xdr:to>
    <xdr:sp macro="" textlink="ANALYSIS!E3">
      <xdr:nvSpPr>
        <xdr:cNvPr id="2" name="Cloud Callout 1">
          <a:extLst>
            <a:ext uri="{FF2B5EF4-FFF2-40B4-BE49-F238E27FC236}">
              <a16:creationId xmlns:a16="http://schemas.microsoft.com/office/drawing/2014/main" id="{2E1AD197-0F10-9A0E-86E9-695589D7F1DA}"/>
            </a:ext>
          </a:extLst>
        </xdr:cNvPr>
        <xdr:cNvSpPr/>
      </xdr:nvSpPr>
      <xdr:spPr>
        <a:xfrm>
          <a:off x="214573" y="579120"/>
          <a:ext cx="3016294" cy="979797"/>
        </a:xfrm>
        <a:prstGeom prst="cloud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bg1"/>
              </a:solidFill>
              <a:latin typeface="Calibri"/>
              <a:cs typeface="Calibri"/>
            </a:rPr>
            <a:t>TOTAL SALES</a:t>
          </a:r>
        </a:p>
        <a:p>
          <a:pPr algn="ctr"/>
          <a:fld id="{2C9F07FD-18AE-B74B-867E-3C32189F5B37}" type="TxLink">
            <a:rPr lang="en-US" sz="1600" b="0" i="0" u="none" strike="noStrike">
              <a:solidFill>
                <a:schemeClr val="bg1"/>
              </a:solidFill>
              <a:latin typeface="Calibri"/>
              <a:cs typeface="Calibri"/>
            </a:rPr>
            <a:pPr algn="ctr"/>
            <a:t>₹34,65,455.06</a:t>
          </a:fld>
          <a:endParaRPr lang="en-GB" sz="1600">
            <a:solidFill>
              <a:schemeClr val="bg1"/>
            </a:solidFill>
          </a:endParaRPr>
        </a:p>
      </xdr:txBody>
    </xdr:sp>
    <xdr:clientData/>
  </xdr:twoCellAnchor>
  <xdr:twoCellAnchor>
    <xdr:from>
      <xdr:col>4</xdr:col>
      <xdr:colOff>4730</xdr:colOff>
      <xdr:row>3</xdr:row>
      <xdr:rowOff>0</xdr:rowOff>
    </xdr:from>
    <xdr:to>
      <xdr:col>7</xdr:col>
      <xdr:colOff>554662</xdr:colOff>
      <xdr:row>8</xdr:row>
      <xdr:rowOff>14598</xdr:rowOff>
    </xdr:to>
    <xdr:sp macro="" textlink="ANALYSIS!E4">
      <xdr:nvSpPr>
        <xdr:cNvPr id="3" name="Cloud Callout 2">
          <a:extLst>
            <a:ext uri="{FF2B5EF4-FFF2-40B4-BE49-F238E27FC236}">
              <a16:creationId xmlns:a16="http://schemas.microsoft.com/office/drawing/2014/main" id="{396C83B5-C357-F043-B734-5C98DCC0188D}"/>
            </a:ext>
          </a:extLst>
        </xdr:cNvPr>
        <xdr:cNvSpPr/>
      </xdr:nvSpPr>
      <xdr:spPr>
        <a:xfrm>
          <a:off x="3296570" y="579120"/>
          <a:ext cx="3018812" cy="979798"/>
        </a:xfrm>
        <a:prstGeom prst="cloud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bg1"/>
              </a:solidFill>
              <a:latin typeface="Calibri"/>
              <a:cs typeface="Calibri"/>
            </a:rPr>
            <a:t>TOTAL PROFIT </a:t>
          </a:r>
        </a:p>
        <a:p>
          <a:pPr algn="ctr"/>
          <a:fld id="{85BB3893-1287-A742-919F-6E9337CBD9AD}" type="TxLink">
            <a:rPr lang="en-US" sz="1600" b="0" i="0" u="none" strike="noStrike">
              <a:solidFill>
                <a:schemeClr val="bg1"/>
              </a:solidFill>
              <a:latin typeface="Calibri"/>
              <a:cs typeface="Calibri"/>
            </a:rPr>
            <a:pPr algn="ctr"/>
            <a:t>₹3,59,412.61</a:t>
          </a:fld>
          <a:endParaRPr lang="en-GB" sz="1600">
            <a:solidFill>
              <a:schemeClr val="bg1"/>
            </a:solidFill>
          </a:endParaRPr>
        </a:p>
      </xdr:txBody>
    </xdr:sp>
    <xdr:clientData/>
  </xdr:twoCellAnchor>
  <xdr:twoCellAnchor>
    <xdr:from>
      <xdr:col>8</xdr:col>
      <xdr:colOff>0</xdr:colOff>
      <xdr:row>3</xdr:row>
      <xdr:rowOff>0</xdr:rowOff>
    </xdr:from>
    <xdr:to>
      <xdr:col>11</xdr:col>
      <xdr:colOff>547414</xdr:colOff>
      <xdr:row>8</xdr:row>
      <xdr:rowOff>14597</xdr:rowOff>
    </xdr:to>
    <xdr:sp macro="" textlink="ANALYSIS!E5">
      <xdr:nvSpPr>
        <xdr:cNvPr id="4" name="Cloud Callout 3">
          <a:extLst>
            <a:ext uri="{FF2B5EF4-FFF2-40B4-BE49-F238E27FC236}">
              <a16:creationId xmlns:a16="http://schemas.microsoft.com/office/drawing/2014/main" id="{8D642EAF-7C82-DA42-ACB9-01477EECC379}"/>
            </a:ext>
          </a:extLst>
        </xdr:cNvPr>
        <xdr:cNvSpPr/>
      </xdr:nvSpPr>
      <xdr:spPr>
        <a:xfrm>
          <a:off x="6583680" y="579120"/>
          <a:ext cx="3016294" cy="979797"/>
        </a:xfrm>
        <a:prstGeom prst="cloud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chemeClr val="bg1"/>
              </a:solidFill>
              <a:latin typeface="Calibri"/>
              <a:cs typeface="Calibri"/>
            </a:rPr>
            <a:t>TOTAL QUANTITY SOLD</a:t>
          </a:r>
        </a:p>
        <a:p>
          <a:pPr algn="ctr"/>
          <a:fld id="{1271BC8C-6AFC-7D4C-928B-67B70C6E0255}" type="TxLink">
            <a:rPr lang="en-US" sz="1400" b="0" i="0" u="none" strike="noStrike">
              <a:solidFill>
                <a:schemeClr val="bg1"/>
              </a:solidFill>
              <a:latin typeface="Calibri"/>
              <a:cs typeface="Calibri"/>
            </a:rPr>
            <a:pPr algn="ctr"/>
            <a:t>5541</a:t>
          </a:fld>
          <a:endParaRPr lang="en-GB" sz="1400">
            <a:solidFill>
              <a:schemeClr val="bg1"/>
            </a:solidFill>
          </a:endParaRPr>
        </a:p>
      </xdr:txBody>
    </xdr:sp>
    <xdr:clientData/>
  </xdr:twoCellAnchor>
  <xdr:twoCellAnchor>
    <xdr:from>
      <xdr:col>12</xdr:col>
      <xdr:colOff>0</xdr:colOff>
      <xdr:row>3</xdr:row>
      <xdr:rowOff>0</xdr:rowOff>
    </xdr:from>
    <xdr:to>
      <xdr:col>15</xdr:col>
      <xdr:colOff>547414</xdr:colOff>
      <xdr:row>8</xdr:row>
      <xdr:rowOff>14597</xdr:rowOff>
    </xdr:to>
    <xdr:sp macro="" textlink="ANALYSIS!E6">
      <xdr:nvSpPr>
        <xdr:cNvPr id="5" name="Cloud Callout 4">
          <a:extLst>
            <a:ext uri="{FF2B5EF4-FFF2-40B4-BE49-F238E27FC236}">
              <a16:creationId xmlns:a16="http://schemas.microsoft.com/office/drawing/2014/main" id="{60BA2A9A-1FD6-E74E-B336-5E471326323F}"/>
            </a:ext>
          </a:extLst>
        </xdr:cNvPr>
        <xdr:cNvSpPr/>
      </xdr:nvSpPr>
      <xdr:spPr>
        <a:xfrm>
          <a:off x="9875520" y="579120"/>
          <a:ext cx="3016294" cy="979797"/>
        </a:xfrm>
        <a:prstGeom prst="cloud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chemeClr val="bg1"/>
              </a:solidFill>
              <a:latin typeface="Calibri"/>
              <a:cs typeface="Calibri"/>
            </a:rPr>
            <a:t>Average Profit Margin %</a:t>
          </a:r>
        </a:p>
        <a:p>
          <a:pPr algn="ctr"/>
          <a:fld id="{043C1744-D120-2442-854F-8DBCFAD00CB3}" type="TxLink">
            <a:rPr lang="en-US" sz="1400" b="0" i="0" u="none" strike="noStrike">
              <a:solidFill>
                <a:schemeClr val="bg1"/>
              </a:solidFill>
              <a:latin typeface="Calibri"/>
              <a:cs typeface="Calibri"/>
            </a:rPr>
            <a:pPr algn="ctr"/>
            <a:t>10%</a:t>
          </a:fld>
          <a:endParaRPr lang="en-GB" sz="1400">
            <a:solidFill>
              <a:schemeClr val="bg1"/>
            </a:solidFill>
          </a:endParaRPr>
        </a:p>
      </xdr:txBody>
    </xdr:sp>
    <xdr:clientData/>
  </xdr:twoCellAnchor>
  <xdr:twoCellAnchor>
    <xdr:from>
      <xdr:col>0</xdr:col>
      <xdr:colOff>0</xdr:colOff>
      <xdr:row>9</xdr:row>
      <xdr:rowOff>173183</xdr:rowOff>
    </xdr:from>
    <xdr:to>
      <xdr:col>5</xdr:col>
      <xdr:colOff>365606</xdr:colOff>
      <xdr:row>22</xdr:row>
      <xdr:rowOff>149476</xdr:rowOff>
    </xdr:to>
    <xdr:graphicFrame macro="">
      <xdr:nvGraphicFramePr>
        <xdr:cNvPr id="6" name="Chart 5">
          <a:extLst>
            <a:ext uri="{FF2B5EF4-FFF2-40B4-BE49-F238E27FC236}">
              <a16:creationId xmlns:a16="http://schemas.microsoft.com/office/drawing/2014/main" id="{7E3B45B4-8BED-DC4A-B3A7-3A613464F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456123</xdr:colOff>
      <xdr:row>9</xdr:row>
      <xdr:rowOff>173183</xdr:rowOff>
    </xdr:from>
    <xdr:to>
      <xdr:col>10</xdr:col>
      <xdr:colOff>134697</xdr:colOff>
      <xdr:row>22</xdr:row>
      <xdr:rowOff>143319</xdr:rowOff>
    </xdr:to>
    <xdr:graphicFrame macro="">
      <xdr:nvGraphicFramePr>
        <xdr:cNvPr id="7" name="Chart 6">
          <a:extLst>
            <a:ext uri="{FF2B5EF4-FFF2-40B4-BE49-F238E27FC236}">
              <a16:creationId xmlns:a16="http://schemas.microsoft.com/office/drawing/2014/main" id="{32309F66-5436-4249-8C4F-BB08D80F8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22</xdr:row>
      <xdr:rowOff>169334</xdr:rowOff>
    </xdr:from>
    <xdr:to>
      <xdr:col>5</xdr:col>
      <xdr:colOff>433295</xdr:colOff>
      <xdr:row>36</xdr:row>
      <xdr:rowOff>80677</xdr:rowOff>
    </xdr:to>
    <xdr:graphicFrame macro="">
      <xdr:nvGraphicFramePr>
        <xdr:cNvPr id="8" name="Chart 7">
          <a:extLst>
            <a:ext uri="{FF2B5EF4-FFF2-40B4-BE49-F238E27FC236}">
              <a16:creationId xmlns:a16="http://schemas.microsoft.com/office/drawing/2014/main" id="{EFF62FE7-EB9B-6E45-A0C9-2AEC00B70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494452</xdr:colOff>
      <xdr:row>22</xdr:row>
      <xdr:rowOff>169334</xdr:rowOff>
    </xdr:from>
    <xdr:to>
      <xdr:col>11</xdr:col>
      <xdr:colOff>18373</xdr:colOff>
      <xdr:row>36</xdr:row>
      <xdr:rowOff>44028</xdr:rowOff>
    </xdr:to>
    <xdr:graphicFrame macro="">
      <xdr:nvGraphicFramePr>
        <xdr:cNvPr id="9" name="Chart 8">
          <a:extLst>
            <a:ext uri="{FF2B5EF4-FFF2-40B4-BE49-F238E27FC236}">
              <a16:creationId xmlns:a16="http://schemas.microsoft.com/office/drawing/2014/main" id="{8D7D849E-4090-1643-A270-A034AE5EF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36</xdr:row>
      <xdr:rowOff>142241</xdr:rowOff>
    </xdr:from>
    <xdr:to>
      <xdr:col>3</xdr:col>
      <xdr:colOff>716478</xdr:colOff>
      <xdr:row>56</xdr:row>
      <xdr:rowOff>134472</xdr:rowOff>
    </xdr:to>
    <xdr:graphicFrame macro="">
      <xdr:nvGraphicFramePr>
        <xdr:cNvPr id="10" name="Chart 9">
          <a:extLst>
            <a:ext uri="{FF2B5EF4-FFF2-40B4-BE49-F238E27FC236}">
              <a16:creationId xmlns:a16="http://schemas.microsoft.com/office/drawing/2014/main" id="{C4E2F712-9087-E043-956E-452D96968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259080</xdr:colOff>
      <xdr:row>36</xdr:row>
      <xdr:rowOff>142241</xdr:rowOff>
    </xdr:from>
    <xdr:to>
      <xdr:col>15</xdr:col>
      <xdr:colOff>742836</xdr:colOff>
      <xdr:row>56</xdr:row>
      <xdr:rowOff>121921</xdr:rowOff>
    </xdr:to>
    <xdr:graphicFrame macro="">
      <xdr:nvGraphicFramePr>
        <xdr:cNvPr id="11" name="Chart 10">
          <a:extLst>
            <a:ext uri="{FF2B5EF4-FFF2-40B4-BE49-F238E27FC236}">
              <a16:creationId xmlns:a16="http://schemas.microsoft.com/office/drawing/2014/main" id="{50560AB9-DB93-1043-A012-09EB8F8E2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772161</xdr:colOff>
      <xdr:row>36</xdr:row>
      <xdr:rowOff>142241</xdr:rowOff>
    </xdr:from>
    <xdr:to>
      <xdr:col>12</xdr:col>
      <xdr:colOff>220133</xdr:colOff>
      <xdr:row>56</xdr:row>
      <xdr:rowOff>145654</xdr:rowOff>
    </xdr:to>
    <xdr:graphicFrame macro="">
      <xdr:nvGraphicFramePr>
        <xdr:cNvPr id="12" name="Chart 11">
          <a:extLst>
            <a:ext uri="{FF2B5EF4-FFF2-40B4-BE49-F238E27FC236}">
              <a16:creationId xmlns:a16="http://schemas.microsoft.com/office/drawing/2014/main" id="{206E82BF-54B2-7943-A1FA-98080BD64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57</xdr:row>
      <xdr:rowOff>0</xdr:rowOff>
    </xdr:from>
    <xdr:to>
      <xdr:col>3</xdr:col>
      <xdr:colOff>717177</xdr:colOff>
      <xdr:row>78</xdr:row>
      <xdr:rowOff>40640</xdr:rowOff>
    </xdr:to>
    <xdr:graphicFrame macro="">
      <xdr:nvGraphicFramePr>
        <xdr:cNvPr id="13" name="Chart 12">
          <a:extLst>
            <a:ext uri="{FF2B5EF4-FFF2-40B4-BE49-F238E27FC236}">
              <a16:creationId xmlns:a16="http://schemas.microsoft.com/office/drawing/2014/main" id="{C9C7C62A-44DB-2F45-A509-F3A39F218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791882</xdr:colOff>
      <xdr:row>57</xdr:row>
      <xdr:rowOff>0</xdr:rowOff>
    </xdr:from>
    <xdr:to>
      <xdr:col>8</xdr:col>
      <xdr:colOff>89647</xdr:colOff>
      <xdr:row>78</xdr:row>
      <xdr:rowOff>0</xdr:rowOff>
    </xdr:to>
    <xdr:graphicFrame macro="">
      <xdr:nvGraphicFramePr>
        <xdr:cNvPr id="14" name="Chart 13">
          <a:extLst>
            <a:ext uri="{FF2B5EF4-FFF2-40B4-BE49-F238E27FC236}">
              <a16:creationId xmlns:a16="http://schemas.microsoft.com/office/drawing/2014/main" id="{D802197B-407E-9F40-AB31-6512B0BF7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179293</xdr:colOff>
      <xdr:row>57</xdr:row>
      <xdr:rowOff>0</xdr:rowOff>
    </xdr:from>
    <xdr:to>
      <xdr:col>15</xdr:col>
      <xdr:colOff>791882</xdr:colOff>
      <xdr:row>77</xdr:row>
      <xdr:rowOff>176013</xdr:rowOff>
    </xdr:to>
    <xdr:graphicFrame macro="">
      <xdr:nvGraphicFramePr>
        <xdr:cNvPr id="15" name="Chart 14">
          <a:extLst>
            <a:ext uri="{FF2B5EF4-FFF2-40B4-BE49-F238E27FC236}">
              <a16:creationId xmlns:a16="http://schemas.microsoft.com/office/drawing/2014/main" id="{FC440933-462E-0A46-AA6F-0FE25838A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41677</xdr:colOff>
      <xdr:row>22</xdr:row>
      <xdr:rowOff>169334</xdr:rowOff>
    </xdr:from>
    <xdr:to>
      <xdr:col>15</xdr:col>
      <xdr:colOff>807819</xdr:colOff>
      <xdr:row>36</xdr:row>
      <xdr:rowOff>57773</xdr:rowOff>
    </xdr:to>
    <xdr:graphicFrame macro="">
      <xdr:nvGraphicFramePr>
        <xdr:cNvPr id="19" name="Chart 18">
          <a:extLst>
            <a:ext uri="{FF2B5EF4-FFF2-40B4-BE49-F238E27FC236}">
              <a16:creationId xmlns:a16="http://schemas.microsoft.com/office/drawing/2014/main" id="{7C984077-FAC5-2143-B0C3-15AB6D8C0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16</xdr:col>
      <xdr:colOff>29883</xdr:colOff>
      <xdr:row>3</xdr:row>
      <xdr:rowOff>0</xdr:rowOff>
    </xdr:from>
    <xdr:to>
      <xdr:col>21</xdr:col>
      <xdr:colOff>0</xdr:colOff>
      <xdr:row>10</xdr:row>
      <xdr:rowOff>74706</xdr:rowOff>
    </xdr:to>
    <mc:AlternateContent xmlns:mc="http://schemas.openxmlformats.org/markup-compatibility/2006" xmlns:a14="http://schemas.microsoft.com/office/drawing/2010/main">
      <mc:Choice Requires="a14">
        <xdr:graphicFrame macro="">
          <xdr:nvGraphicFramePr>
            <xdr:cNvPr id="20" name="Discount Bucket 1">
              <a:extLst>
                <a:ext uri="{FF2B5EF4-FFF2-40B4-BE49-F238E27FC236}">
                  <a16:creationId xmlns:a16="http://schemas.microsoft.com/office/drawing/2014/main" id="{29C4914E-5304-8C4C-9128-CF5A22FE3A8B}"/>
                </a:ext>
              </a:extLst>
            </xdr:cNvPr>
            <xdr:cNvGraphicFramePr/>
          </xdr:nvGraphicFramePr>
          <xdr:xfrm>
            <a:off x="0" y="0"/>
            <a:ext cx="0" cy="0"/>
          </xdr:xfrm>
          <a:graphic>
            <a:graphicData uri="http://schemas.microsoft.com/office/drawing/2010/slicer">
              <sle:slicer xmlns:sle="http://schemas.microsoft.com/office/drawing/2010/slicer" name="Discount Bucket 1"/>
            </a:graphicData>
          </a:graphic>
        </xdr:graphicFrame>
      </mc:Choice>
      <mc:Fallback xmlns="">
        <xdr:sp macro="" textlink="">
          <xdr:nvSpPr>
            <xdr:cNvPr id="0" name=""/>
            <xdr:cNvSpPr>
              <a:spLocks noTextEdit="1"/>
            </xdr:cNvSpPr>
          </xdr:nvSpPr>
          <xdr:spPr>
            <a:xfrm>
              <a:off x="13282057" y="552174"/>
              <a:ext cx="4111421" cy="13631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29883</xdr:colOff>
      <xdr:row>11</xdr:row>
      <xdr:rowOff>0</xdr:rowOff>
    </xdr:from>
    <xdr:to>
      <xdr:col>20</xdr:col>
      <xdr:colOff>806824</xdr:colOff>
      <xdr:row>30</xdr:row>
      <xdr:rowOff>165652</xdr:rowOff>
    </xdr:to>
    <mc:AlternateContent xmlns:mc="http://schemas.openxmlformats.org/markup-compatibility/2006" xmlns:a14="http://schemas.microsoft.com/office/drawing/2010/main">
      <mc:Choice Requires="a14">
        <xdr:graphicFrame macro="">
          <xdr:nvGraphicFramePr>
            <xdr:cNvPr id="21" name="Month 1">
              <a:extLst>
                <a:ext uri="{FF2B5EF4-FFF2-40B4-BE49-F238E27FC236}">
                  <a16:creationId xmlns:a16="http://schemas.microsoft.com/office/drawing/2014/main" id="{F72A08F1-7036-5049-9EEA-207625E8A31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3282057" y="2024638"/>
              <a:ext cx="4089984" cy="36627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29883</xdr:colOff>
      <xdr:row>31</xdr:row>
      <xdr:rowOff>110434</xdr:rowOff>
    </xdr:from>
    <xdr:to>
      <xdr:col>20</xdr:col>
      <xdr:colOff>791883</xdr:colOff>
      <xdr:row>37</xdr:row>
      <xdr:rowOff>1082</xdr:rowOff>
    </xdr:to>
    <mc:AlternateContent xmlns:mc="http://schemas.openxmlformats.org/markup-compatibility/2006" xmlns:a14="http://schemas.microsoft.com/office/drawing/2010/main">
      <mc:Choice Requires="a14">
        <xdr:graphicFrame macro="">
          <xdr:nvGraphicFramePr>
            <xdr:cNvPr id="22" name="Year 1">
              <a:extLst>
                <a:ext uri="{FF2B5EF4-FFF2-40B4-BE49-F238E27FC236}">
                  <a16:creationId xmlns:a16="http://schemas.microsoft.com/office/drawing/2014/main" id="{97D34711-406D-7943-ABFA-8AAE6DF40E0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282057" y="5816231"/>
              <a:ext cx="4075043" cy="9949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29883</xdr:colOff>
      <xdr:row>37</xdr:row>
      <xdr:rowOff>110435</xdr:rowOff>
    </xdr:from>
    <xdr:to>
      <xdr:col>20</xdr:col>
      <xdr:colOff>776942</xdr:colOff>
      <xdr:row>45</xdr:row>
      <xdr:rowOff>73623</xdr:rowOff>
    </xdr:to>
    <mc:AlternateContent xmlns:mc="http://schemas.openxmlformats.org/markup-compatibility/2006" xmlns:a14="http://schemas.microsoft.com/office/drawing/2010/main">
      <mc:Choice Requires="a14">
        <xdr:graphicFrame macro="">
          <xdr:nvGraphicFramePr>
            <xdr:cNvPr id="23" name="Segment 1">
              <a:extLst>
                <a:ext uri="{FF2B5EF4-FFF2-40B4-BE49-F238E27FC236}">
                  <a16:creationId xmlns:a16="http://schemas.microsoft.com/office/drawing/2014/main" id="{B52E5D49-2CDB-2D46-85C7-40BC19783425}"/>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3282057" y="6920580"/>
              <a:ext cx="4060102" cy="143565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29883</xdr:colOff>
      <xdr:row>46</xdr:row>
      <xdr:rowOff>9094</xdr:rowOff>
    </xdr:from>
    <xdr:to>
      <xdr:col>20</xdr:col>
      <xdr:colOff>762001</xdr:colOff>
      <xdr:row>63</xdr:row>
      <xdr:rowOff>36812</xdr:rowOff>
    </xdr:to>
    <mc:AlternateContent xmlns:mc="http://schemas.openxmlformats.org/markup-compatibility/2006" xmlns:a14="http://schemas.microsoft.com/office/drawing/2010/main">
      <mc:Choice Requires="a14">
        <xdr:graphicFrame macro="">
          <xdr:nvGraphicFramePr>
            <xdr:cNvPr id="24" name="Sales Person 1">
              <a:extLst>
                <a:ext uri="{FF2B5EF4-FFF2-40B4-BE49-F238E27FC236}">
                  <a16:creationId xmlns:a16="http://schemas.microsoft.com/office/drawing/2014/main" id="{B8D26E67-449E-EF45-B553-365C4424DDDB}"/>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13282057" y="8475761"/>
              <a:ext cx="4045161" cy="315670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29883</xdr:colOff>
      <xdr:row>63</xdr:row>
      <xdr:rowOff>160890</xdr:rowOff>
    </xdr:from>
    <xdr:to>
      <xdr:col>20</xdr:col>
      <xdr:colOff>747060</xdr:colOff>
      <xdr:row>70</xdr:row>
      <xdr:rowOff>73623</xdr:rowOff>
    </xdr:to>
    <mc:AlternateContent xmlns:mc="http://schemas.openxmlformats.org/markup-compatibility/2006" xmlns:a14="http://schemas.microsoft.com/office/drawing/2010/main">
      <mc:Choice Requires="a14">
        <xdr:graphicFrame macro="">
          <xdr:nvGraphicFramePr>
            <xdr:cNvPr id="25" name="Category 1">
              <a:extLst>
                <a:ext uri="{FF2B5EF4-FFF2-40B4-BE49-F238E27FC236}">
                  <a16:creationId xmlns:a16="http://schemas.microsoft.com/office/drawing/2014/main" id="{6579B001-CE89-AA46-8C4D-80EC9CFCECE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282057" y="11756542"/>
              <a:ext cx="4030220" cy="12011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29883</xdr:colOff>
      <xdr:row>70</xdr:row>
      <xdr:rowOff>184057</xdr:rowOff>
    </xdr:from>
    <xdr:to>
      <xdr:col>20</xdr:col>
      <xdr:colOff>732117</xdr:colOff>
      <xdr:row>77</xdr:row>
      <xdr:rowOff>179293</xdr:rowOff>
    </xdr:to>
    <mc:AlternateContent xmlns:mc="http://schemas.openxmlformats.org/markup-compatibility/2006" xmlns:a14="http://schemas.microsoft.com/office/drawing/2010/main">
      <mc:Choice Requires="a14">
        <xdr:graphicFrame macro="">
          <xdr:nvGraphicFramePr>
            <xdr:cNvPr id="26" name="Region 1">
              <a:extLst>
                <a:ext uri="{FF2B5EF4-FFF2-40B4-BE49-F238E27FC236}">
                  <a16:creationId xmlns:a16="http://schemas.microsoft.com/office/drawing/2014/main" id="{F9405F61-D137-8C47-9617-C4BBCFAE5D7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282057" y="13068115"/>
              <a:ext cx="4015277" cy="12836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192426</xdr:colOff>
      <xdr:row>9</xdr:row>
      <xdr:rowOff>173183</xdr:rowOff>
    </xdr:from>
    <xdr:to>
      <xdr:col>15</xdr:col>
      <xdr:colOff>752718</xdr:colOff>
      <xdr:row>22</xdr:row>
      <xdr:rowOff>121613</xdr:rowOff>
    </xdr:to>
    <xdr:graphicFrame macro="">
      <xdr:nvGraphicFramePr>
        <xdr:cNvPr id="27" name="Chart 26">
          <a:extLst>
            <a:ext uri="{FF2B5EF4-FFF2-40B4-BE49-F238E27FC236}">
              <a16:creationId xmlns:a16="http://schemas.microsoft.com/office/drawing/2014/main" id="{2A44418E-8BAE-4B48-9E57-2087FD088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n Choudhary" refreshedDate="46224.774798726852" createdVersion="8" refreshedVersion="8" minRefreshableVersion="3" recordCount="1000" xr:uid="{43631F03-AAED-534A-8573-9492346FC4B2}">
  <cacheSource type="worksheet">
    <worksheetSource name="Table1"/>
  </cacheSource>
  <cacheFields count="19">
    <cacheField name="Order ID" numFmtId="0">
      <sharedItems/>
    </cacheField>
    <cacheField name="Order Date" numFmtId="14">
      <sharedItems/>
    </cacheField>
    <cacheField name="Customer Name" numFmtId="0">
      <sharedItems/>
    </cacheField>
    <cacheField name="Region" numFmtId="0">
      <sharedItems count="4">
        <s v="South"/>
        <s v="West"/>
        <s v="North"/>
        <s v="East"/>
      </sharedItems>
    </cacheField>
    <cacheField name="State" numFmtId="0">
      <sharedItems count="16">
        <s v="Karnataka"/>
        <s v="Gujarat"/>
        <s v="Rajasthan"/>
        <s v="Punjab"/>
        <s v="Tamil Nadu"/>
        <s v="Maharashtra"/>
        <s v="Uttarakhand"/>
        <s v="Telangana"/>
        <s v="Haryana"/>
        <s v="Kerala"/>
        <s v="Delhi"/>
        <s v="Goa"/>
        <s v="Odisha"/>
        <s v="West Bengal"/>
        <s v="Bihar"/>
        <s v="Assam"/>
      </sharedItems>
    </cacheField>
    <cacheField name="Category" numFmtId="0">
      <sharedItems count="3">
        <s v="Office Supplies"/>
        <s v="Furniture"/>
        <s v="Technology"/>
      </sharedItems>
    </cacheField>
    <cacheField name="Sub Category" numFmtId="0">
      <sharedItems count="9">
        <s v="Binders"/>
        <s v="Writing"/>
        <s v="Paper"/>
        <s v="Chairs"/>
        <s v="Computers"/>
        <s v="Storage"/>
        <s v="Phones"/>
        <s v="Tables"/>
        <s v="Accessories"/>
      </sharedItems>
    </cacheField>
    <cacheField name="Product Name" numFmtId="0">
      <sharedItems count="27">
        <s v="Document Case"/>
        <s v="Highlighter"/>
        <s v="Notebook"/>
        <s v="Pen Pack"/>
        <s v="Gaming Chair"/>
        <s v="Visitor Chair"/>
        <s v="Laptop"/>
        <s v="Cabinet"/>
        <s v="Smartphone"/>
        <s v="Coffee Table"/>
        <s v="Desktop"/>
        <s v="A4 Paper"/>
        <s v="Keyboard"/>
        <s v="Headset"/>
        <s v="Office Chair"/>
        <s v="Drawer Unit"/>
        <s v="Study Table"/>
        <s v="Conference Table"/>
        <s v="Mouse"/>
        <s v="Marker Set"/>
        <s v="Webcam"/>
        <s v="Sticky Notes"/>
        <s v="Ring Binder"/>
        <s v="Desk Phone"/>
        <s v="Bookshelf"/>
        <s v="File Folder"/>
        <s v="Mini PC"/>
      </sharedItems>
    </cacheField>
    <cacheField name="Sales" numFmtId="164">
      <sharedItems containsSemiMixedTypes="0" containsString="0" containsNumber="1" minValue="34.42" maxValue="11977.1"/>
    </cacheField>
    <cacheField name="Quantity" numFmtId="0">
      <sharedItems containsSemiMixedTypes="0" containsString="0" containsNumber="1" containsInteger="1" minValue="1" maxValue="10"/>
    </cacheField>
    <cacheField name="Discount" numFmtId="9">
      <sharedItems containsSemiMixedTypes="0" containsString="0" containsNumber="1" minValue="0" maxValue="0.3" count="7">
        <n v="0"/>
        <n v="0.25"/>
        <n v="0.3"/>
        <n v="0.1"/>
        <n v="0.2"/>
        <n v="0.15"/>
        <n v="0.05"/>
      </sharedItems>
    </cacheField>
    <cacheField name="Profit" numFmtId="164">
      <sharedItems containsSemiMixedTypes="0" containsString="0" containsNumber="1" minValue="-2535.5500000000002" maxValue="3932.76" count="995">
        <n v="421.59"/>
        <n v="-161.72"/>
        <n v="356.91"/>
        <n v="-122.01"/>
        <n v="416.9"/>
        <n v="721.16"/>
        <n v="-457.71"/>
        <n v="-634.04"/>
        <n v="-23.27"/>
        <n v="145.56"/>
        <n v="175.1"/>
        <n v="117.9"/>
        <n v="1549.7"/>
        <n v="-758.03"/>
        <n v="1562.19"/>
        <n v="-1904.11"/>
        <n v="-816.01"/>
        <n v="206.77"/>
        <n v="404.54"/>
        <n v="-315.85000000000002"/>
        <n v="1494.8"/>
        <n v="66.61"/>
        <n v="-35.39"/>
        <n v="1494.43"/>
        <n v="156.16"/>
        <n v="505.07"/>
        <n v="260.37"/>
        <n v="242.56"/>
        <n v="240.81"/>
        <n v="320.13"/>
        <n v="-133.25"/>
        <n v="-374.38"/>
        <n v="143.15"/>
        <n v="422.8"/>
        <n v="419.74"/>
        <n v="151.36000000000001"/>
        <n v="74.28"/>
        <n v="123.67"/>
        <n v="-557.66999999999996"/>
        <n v="897.82"/>
        <n v="26.45"/>
        <n v="3114.24"/>
        <n v="77.02"/>
        <n v="128.31"/>
        <n v="2.4300000000000002"/>
        <n v="231.34"/>
        <n v="-287.81"/>
        <n v="437.68"/>
        <n v="254.75"/>
        <n v="12.24"/>
        <n v="21.45"/>
        <n v="161.21"/>
        <n v="-501.55"/>
        <n v="-535.28"/>
        <n v="-99.53"/>
        <n v="1054.78"/>
        <n v="33.47"/>
        <n v="-313.58999999999997"/>
        <n v="68.03"/>
        <n v="26.5"/>
        <n v="65.510000000000005"/>
        <n v="1513.48"/>
        <n v="-435.9"/>
        <n v="538.82000000000005"/>
        <n v="36.46"/>
        <n v="725.05"/>
        <n v="231.44"/>
        <n v="44.81"/>
        <n v="-195.73"/>
        <n v="-29.92"/>
        <n v="544.58000000000004"/>
        <n v="274.94"/>
        <n v="29.51"/>
        <n v="100.64"/>
        <n v="-72.510000000000005"/>
        <n v="225.66"/>
        <n v="-11.86"/>
        <n v="25.32"/>
        <n v="865.64"/>
        <n v="593.66999999999996"/>
        <n v="70.739999999999995"/>
        <n v="877.36"/>
        <n v="1798.58"/>
        <n v="2061.41"/>
        <n v="582.89"/>
        <n v="-122.43"/>
        <n v="-777.88"/>
        <n v="472.22"/>
        <n v="69.31"/>
        <n v="372.2"/>
        <n v="-136.4"/>
        <n v="118.14"/>
        <n v="31.54"/>
        <n v="-89.79"/>
        <n v="67.489999999999995"/>
        <n v="331.97"/>
        <n v="108.83"/>
        <n v="136.69999999999999"/>
        <n v="112.32"/>
        <n v="204.4"/>
        <n v="2115.63"/>
        <n v="-690.95"/>
        <n v="164.13"/>
        <n v="-111.31"/>
        <n v="286.58999999999997"/>
        <n v="479.9"/>
        <n v="114.73"/>
        <n v="4.68"/>
        <n v="-424.47"/>
        <n v="95.16"/>
        <n v="378.52"/>
        <n v="1438.99"/>
        <n v="164.59"/>
        <n v="846.82"/>
        <n v="155.55000000000001"/>
        <n v="1606.08"/>
        <n v="292.55"/>
        <n v="487.62"/>
        <n v="40.97"/>
        <n v="607.07000000000005"/>
        <n v="726.68"/>
        <n v="248.3"/>
        <n v="-236.61"/>
        <n v="428.01"/>
        <n v="98.56"/>
        <n v="198.23"/>
        <n v="186.44"/>
        <n v="100.02"/>
        <n v="-69.47"/>
        <n v="-466.39"/>
        <n v="-431.2"/>
        <n v="2534.31"/>
        <n v="181.17"/>
        <n v="155.86000000000001"/>
        <n v="-297.89999999999998"/>
        <n v="588.05999999999995"/>
        <n v="-27.08"/>
        <n v="43.11"/>
        <n v="527.72"/>
        <n v="62.78"/>
        <n v="619.04"/>
        <n v="-80.569999999999993"/>
        <n v="-82.11"/>
        <n v="1170.46"/>
        <n v="32.479999999999997"/>
        <n v="702.25"/>
        <n v="-81.53"/>
        <n v="260.75"/>
        <n v="-254.39"/>
        <n v="10.88"/>
        <n v="86.22"/>
        <n v="3932.76"/>
        <n v="693.4"/>
        <n v="219.49"/>
        <n v="3101.36"/>
        <n v="659.63"/>
        <n v="453.05"/>
        <n v="1913.54"/>
        <n v="8.56"/>
        <n v="105.83"/>
        <n v="1277.8"/>
        <n v="-168.83"/>
        <n v="544.54"/>
        <n v="28.57"/>
        <n v="1583.53"/>
        <n v="-345.02"/>
        <n v="674.62"/>
        <n v="236.69"/>
        <n v="614.41"/>
        <n v="47.51"/>
        <n v="-141.44999999999999"/>
        <n v="3382.16"/>
        <n v="386.4"/>
        <n v="2335.9699999999998"/>
        <n v="-176.91"/>
        <n v="-250.52"/>
        <n v="-165.64"/>
        <n v="-209.61"/>
        <n v="929.1"/>
        <n v="-620.64"/>
        <n v="1023.16"/>
        <n v="27.86"/>
        <n v="1420.47"/>
        <n v="531.36"/>
        <n v="112.66"/>
        <n v="-1121.1300000000001"/>
        <n v="-1208.1600000000001"/>
        <n v="-80.930000000000007"/>
        <n v="668.07"/>
        <n v="668.52"/>
        <n v="1619.83"/>
        <n v="405.97"/>
        <n v="772.79"/>
        <n v="1304.29"/>
        <n v="46.92"/>
        <n v="-97.91"/>
        <n v="-1022.6"/>
        <n v="83.4"/>
        <n v="-211.67"/>
        <n v="362.96"/>
        <n v="185.05"/>
        <n v="2072.31"/>
        <n v="-44.37"/>
        <n v="75.069999999999993"/>
        <n v="-1112.45"/>
        <n v="18.86"/>
        <n v="142.78"/>
        <n v="-3.1"/>
        <n v="852.14"/>
        <n v="509.53"/>
        <n v="872.82"/>
        <n v="85.12"/>
        <n v="-8.39"/>
        <n v="95.63"/>
        <n v="352.36"/>
        <n v="-178.09"/>
        <n v="48.55"/>
        <n v="-362.53"/>
        <n v="555.32000000000005"/>
        <n v="656.2"/>
        <n v="1890.59"/>
        <n v="100.75"/>
        <n v="826.72"/>
        <n v="113.67"/>
        <n v="200.65"/>
        <n v="-505.42"/>
        <n v="201.68"/>
        <n v="427.19"/>
        <n v="213.13"/>
        <n v="180.72"/>
        <n v="561.76"/>
        <n v="103.14"/>
        <n v="71.62"/>
        <n v="-373.99"/>
        <n v="-6.47"/>
        <n v="266.76"/>
        <n v="-85.62"/>
        <n v="148.38"/>
        <n v="1076.1199999999999"/>
        <n v="15.55"/>
        <n v="107.63"/>
        <n v="265.93"/>
        <n v="872.03"/>
        <n v="289.19"/>
        <n v="38.020000000000003"/>
        <n v="109.82"/>
        <n v="-103.91"/>
        <n v="2181.09"/>
        <n v="-598.41999999999996"/>
        <n v="696.57"/>
        <n v="829.81"/>
        <n v="1289.29"/>
        <n v="440.77"/>
        <n v="1783.91"/>
        <n v="1213"/>
        <n v="31.85"/>
        <n v="774.42"/>
        <n v="87.02"/>
        <n v="530.70000000000005"/>
        <n v="96.93"/>
        <n v="638.41999999999996"/>
        <n v="-123.84"/>
        <n v="176.34"/>
        <n v="534.28"/>
        <n v="-27.72"/>
        <n v="30.03"/>
        <n v="330.33"/>
        <n v="1975.88"/>
        <n v="614.54"/>
        <n v="-115.81"/>
        <n v="384.87"/>
        <n v="9.51"/>
        <n v="-141.18"/>
        <n v="293"/>
        <n v="103.91"/>
        <n v="3432.98"/>
        <n v="1660.22"/>
        <n v="507.36"/>
        <n v="516.94000000000005"/>
        <n v="790.12"/>
        <n v="-171.13"/>
        <n v="-984.2"/>
        <n v="-227.11"/>
        <n v="-37.54"/>
        <n v="-314.5"/>
        <n v="191.63"/>
        <n v="-774.81"/>
        <n v="610.91"/>
        <n v="73.430000000000007"/>
        <n v="-1.83"/>
        <n v="-157.91999999999999"/>
        <n v="-148.79"/>
        <n v="1603.6"/>
        <n v="-41.73"/>
        <n v="58.46"/>
        <n v="-14.15"/>
        <n v="56.54"/>
        <n v="734.31"/>
        <n v="821.47"/>
        <n v="-17.29"/>
        <n v="44.87"/>
        <n v="-8.16"/>
        <n v="-138.38"/>
        <n v="-100.09"/>
        <n v="1155.19"/>
        <n v="53.7"/>
        <n v="2028.38"/>
        <n v="167.48"/>
        <n v="178.59"/>
        <n v="430.54"/>
        <n v="-221.21"/>
        <n v="159.77000000000001"/>
        <n v="563.44000000000005"/>
        <n v="294.66000000000003"/>
        <n v="247.56"/>
        <n v="261.02999999999997"/>
        <n v="2152.0700000000002"/>
        <n v="122.63"/>
        <n v="581.89"/>
        <n v="20.190000000000001"/>
        <n v="349.86"/>
        <n v="102.6"/>
        <n v="911.78"/>
        <n v="1096.19"/>
        <n v="-94.49"/>
        <n v="5.98"/>
        <n v="-184.21"/>
        <n v="-1095.72"/>
        <n v="-0.08"/>
        <n v="22.34"/>
        <n v="-208.05"/>
        <n v="401.47"/>
        <n v="1267.9100000000001"/>
        <n v="64.430000000000007"/>
        <n v="3253.1"/>
        <n v="-1953.84"/>
        <n v="874.13"/>
        <n v="161.53"/>
        <n v="50.32"/>
        <n v="-292.88"/>
        <n v="171.25"/>
        <n v="3596.88"/>
        <n v="175.47"/>
        <n v="118.29"/>
        <n v="-442.27"/>
        <n v="-9.0500000000000007"/>
        <n v="261.37"/>
        <n v="89.12"/>
        <n v="83.55"/>
        <n v="253.33"/>
        <n v="467.87"/>
        <n v="-745.53"/>
        <n v="79.849999999999994"/>
        <n v="-132.01"/>
        <n v="-2233.0700000000002"/>
        <n v="549.61"/>
        <n v="-106.38"/>
        <n v="43.34"/>
        <n v="80.41"/>
        <n v="-60.36"/>
        <n v="-766.16"/>
        <n v="32.72"/>
        <n v="236.39"/>
        <n v="812.06"/>
        <n v="888.98"/>
        <n v="585.01"/>
        <n v="-200.76"/>
        <n v="57.34"/>
        <n v="5.17"/>
        <n v="-33.33"/>
        <n v="-127.78"/>
        <n v="31.01"/>
        <n v="-892.64"/>
        <n v="-699.89"/>
        <n v="166.03"/>
        <n v="327.16000000000003"/>
        <n v="1452.52"/>
        <n v="3838.14"/>
        <n v="545.95000000000005"/>
        <n v="242.95"/>
        <n v="3551.09"/>
        <n v="435.24"/>
        <n v="92.4"/>
        <n v="-46.51"/>
        <n v="320.45"/>
        <n v="-311.02"/>
        <n v="314.04000000000002"/>
        <n v="1120.08"/>
        <n v="10.35"/>
        <n v="650.94000000000005"/>
        <n v="412"/>
        <n v="-428.53"/>
        <n v="-360.36"/>
        <n v="260.58"/>
        <n v="94.83"/>
        <n v="1310.92"/>
        <n v="1113.92"/>
        <n v="512.65"/>
        <n v="753.71"/>
        <n v="165.97"/>
        <n v="804.4"/>
        <n v="-154.34"/>
        <n v="263.99"/>
        <n v="1084.24"/>
        <n v="400.92"/>
        <n v="-36.07"/>
        <n v="-253.87"/>
        <n v="-31.49"/>
        <n v="4.16"/>
        <n v="482.88"/>
        <n v="-43.28"/>
        <n v="322.81"/>
        <n v="-149.37"/>
        <n v="74.569999999999993"/>
        <n v="1040.3800000000001"/>
        <n v="123.53"/>
        <n v="38.76"/>
        <n v="625.72"/>
        <n v="261.64999999999998"/>
        <n v="36.44"/>
        <n v="1605.49"/>
        <n v="649.99"/>
        <n v="1824.67"/>
        <n v="52.99"/>
        <n v="466.51"/>
        <n v="736.8"/>
        <n v="175.7"/>
        <n v="844.44"/>
        <n v="85.72"/>
        <n v="44.9"/>
        <n v="1220.96"/>
        <n v="11.62"/>
        <n v="-12.82"/>
        <n v="418.07"/>
        <n v="1847.76"/>
        <n v="310.10000000000002"/>
        <n v="487.61"/>
        <n v="5.72"/>
        <n v="-219.81"/>
        <n v="1406.57"/>
        <n v="67.08"/>
        <n v="320.10000000000002"/>
        <n v="193.35"/>
        <n v="671.25"/>
        <n v="312.87"/>
        <n v="-62.15"/>
        <n v="572.66999999999996"/>
        <n v="1672.78"/>
        <n v="1428.36"/>
        <n v="1377.81"/>
        <n v="368.3"/>
        <n v="-142.01"/>
        <n v="521.28"/>
        <n v="8.93"/>
        <n v="92.36"/>
        <n v="-124.84"/>
        <n v="650.58000000000004"/>
        <n v="391.04"/>
        <n v="140.46"/>
        <n v="1116.51"/>
        <n v="1110.8900000000001"/>
        <n v="53.99"/>
        <n v="983.16"/>
        <n v="166.57"/>
        <n v="333.35"/>
        <n v="-21.26"/>
        <n v="103.06"/>
        <n v="1647.86"/>
        <n v="81.94"/>
        <n v="1564.09"/>
        <n v="381.51"/>
        <n v="59.81"/>
        <n v="-102.92"/>
        <n v="-33.39"/>
        <n v="-69.84"/>
        <n v="-469.45"/>
        <n v="58.03"/>
        <n v="140.53"/>
        <n v="370.12"/>
        <n v="1137.3699999999999"/>
        <n v="2258.39"/>
        <n v="95.36"/>
        <n v="273.51"/>
        <n v="395.89"/>
        <n v="2.0299999999999998"/>
        <n v="-435.35"/>
        <n v="-76.069999999999993"/>
        <n v="118.43"/>
        <n v="481.21"/>
        <n v="530.76"/>
        <n v="272"/>
        <n v="-171.97"/>
        <n v="224.35"/>
        <n v="52.34"/>
        <n v="-445.34"/>
        <n v="427.34"/>
        <n v="107.96"/>
        <n v="58.21"/>
        <n v="680.39"/>
        <n v="241.67"/>
        <n v="-120.02"/>
        <n v="-4.24"/>
        <n v="133.78"/>
        <n v="361.14"/>
        <n v="1409.16"/>
        <n v="-11.54"/>
        <n v="-20.239999999999998"/>
        <n v="1707.36"/>
        <n v="-363.35"/>
        <n v="-20.260000000000002"/>
        <n v="2876.41"/>
        <n v="81.790000000000006"/>
        <n v="-1000.38"/>
        <n v="1138.44"/>
        <n v="-76.14"/>
        <n v="669.24"/>
        <n v="-236.15"/>
        <n v="-150.43"/>
        <n v="150.80000000000001"/>
        <n v="1135.56"/>
        <n v="330.96"/>
        <n v="159.13999999999999"/>
        <n v="478.37"/>
        <n v="719.03"/>
        <n v="-57.58"/>
        <n v="-281.49"/>
        <n v="1818.2"/>
        <n v="67.45"/>
        <n v="729.08"/>
        <n v="262.14"/>
        <n v="-370.84"/>
        <n v="285.85000000000002"/>
        <n v="524.84"/>
        <n v="218.13"/>
        <n v="105.07"/>
        <n v="-501.77"/>
        <n v="-203.53"/>
        <n v="1409.88"/>
        <n v="-60.34"/>
        <n v="17.14"/>
        <n v="1095.27"/>
        <n v="-330.67"/>
        <n v="470.38"/>
        <n v="106.37"/>
        <n v="54.66"/>
        <n v="41.67"/>
        <n v="-81.11"/>
        <n v="3118.83"/>
        <n v="104.48"/>
        <n v="-52.12"/>
        <n v="3045.5"/>
        <n v="1053.33"/>
        <n v="1201.26"/>
        <n v="46.13"/>
        <n v="-782"/>
        <n v="922.6"/>
        <n v="108.78"/>
        <n v="2118.85"/>
        <n v="242.98"/>
        <n v="-342.41"/>
        <n v="64.67"/>
        <n v="1153.0999999999999"/>
        <n v="734.3"/>
        <n v="-193.21"/>
        <n v="648.38"/>
        <n v="125"/>
        <n v="1492.1"/>
        <n v="190.92"/>
        <n v="758.17"/>
        <n v="-2535.5500000000002"/>
        <n v="1184.03"/>
        <n v="273.44"/>
        <n v="711.25"/>
        <n v="-26.53"/>
        <n v="-21.01"/>
        <n v="157.1"/>
        <n v="391.49"/>
        <n v="190.93"/>
        <n v="20.99"/>
        <n v="35.159999999999997"/>
        <n v="989.87"/>
        <n v="609.54999999999995"/>
        <n v="-159.44999999999999"/>
        <n v="13.42"/>
        <n v="166.99"/>
        <n v="-115.34"/>
        <n v="567.77"/>
        <n v="306.72000000000003"/>
        <n v="509.96"/>
        <n v="-358.01"/>
        <n v="112.31"/>
        <n v="767"/>
        <n v="-9.84"/>
        <n v="239.03"/>
        <n v="-10.119999999999999"/>
        <n v="-1363.76"/>
        <n v="467.52"/>
        <n v="4.6900000000000004"/>
        <n v="35.380000000000003"/>
        <n v="91.88"/>
        <n v="-3.76"/>
        <n v="124.97"/>
        <n v="6.65"/>
        <n v="-379.17"/>
        <n v="-942.51"/>
        <n v="63.35"/>
        <n v="2387.1999999999998"/>
        <n v="108.53"/>
        <n v="1066.8499999999999"/>
        <n v="-100.21"/>
        <n v="-27.44"/>
        <n v="2687.85"/>
        <n v="20.02"/>
        <n v="-95.35"/>
        <n v="490.92"/>
        <n v="-59.35"/>
        <n v="786.64"/>
        <n v="-370.43"/>
        <n v="-1012.32"/>
        <n v="-7.94"/>
        <n v="69.42"/>
        <n v="-778.78"/>
        <n v="357.74"/>
        <n v="-637.38"/>
        <n v="45.37"/>
        <n v="443.72"/>
        <n v="828.49"/>
        <n v="-299.17"/>
        <n v="988.97"/>
        <n v="2213.81"/>
        <n v="775.22"/>
        <n v="939.71"/>
        <n v="-384.47"/>
        <n v="77.349999999999994"/>
        <n v="1776.8"/>
        <n v="500.79"/>
        <n v="2065.69"/>
        <n v="-297.55"/>
        <n v="245.82"/>
        <n v="120.83"/>
        <n v="844.98"/>
        <n v="-271.36"/>
        <n v="1539.25"/>
        <n v="236.86"/>
        <n v="68.900000000000006"/>
        <n v="-106.36"/>
        <n v="1683.94"/>
        <n v="1652.38"/>
        <n v="508.1"/>
        <n v="1737.78"/>
        <n v="1645.73"/>
        <n v="241.47"/>
        <n v="88.72"/>
        <n v="1192.5899999999999"/>
        <n v="-384.32"/>
        <n v="577.42999999999995"/>
        <n v="249.52"/>
        <n v="2780.36"/>
        <n v="-877.6"/>
        <n v="-659.09"/>
        <n v="95.72"/>
        <n v="945.67"/>
        <n v="171.98"/>
        <n v="50.23"/>
        <n v="48.67"/>
        <n v="-205.08"/>
        <n v="-219.41"/>
        <n v="108.57"/>
        <n v="1658.78"/>
        <n v="52.39"/>
        <n v="1153.78"/>
        <n v="426.78"/>
        <n v="2285.9899999999998"/>
        <n v="141.27000000000001"/>
        <n v="-145.66999999999999"/>
        <n v="244.53"/>
        <n v="-6.85"/>
        <n v="975.33"/>
        <n v="1399.12"/>
        <n v="2032.84"/>
        <n v="-117.62"/>
        <n v="398.99"/>
        <n v="348.25"/>
        <n v="698.36"/>
        <n v="604.94000000000005"/>
        <n v="170.22"/>
        <n v="-65.37"/>
        <n v="152.75"/>
        <n v="304.26"/>
        <n v="-163.34"/>
        <n v="201.11"/>
        <n v="-1702.69"/>
        <n v="1124.8499999999999"/>
        <n v="-20.74"/>
        <n v="-165.2"/>
        <n v="147.77000000000001"/>
        <n v="1208.2"/>
        <n v="719.58"/>
        <n v="-172.91"/>
        <n v="48.09"/>
        <n v="58.72"/>
        <n v="10.56"/>
        <n v="2320.46"/>
        <n v="737.97"/>
        <n v="181.68"/>
        <n v="204.13"/>
        <n v="-4.4400000000000004"/>
        <n v="523.9"/>
        <n v="1363.65"/>
        <n v="-70.930000000000007"/>
        <n v="1212.05"/>
        <n v="1055.6400000000001"/>
        <n v="1034.43"/>
        <n v="56.46"/>
        <n v="-2521.1"/>
        <n v="-213.47"/>
        <n v="85.27"/>
        <n v="1708.82"/>
        <n v="2093.02"/>
        <n v="-1137.2"/>
        <n v="38.770000000000003"/>
        <n v="1952.28"/>
        <n v="147.04"/>
        <n v="29.66"/>
        <n v="-176.33"/>
        <n v="386.55"/>
        <n v="313.91000000000003"/>
        <n v="1454.07"/>
        <n v="730.49"/>
        <n v="2347.2199999999998"/>
        <n v="48.95"/>
        <n v="2822.31"/>
        <n v="-1282.92"/>
        <n v="228.99"/>
        <n v="1606.34"/>
        <n v="85"/>
        <n v="125.15"/>
        <n v="32.979999999999997"/>
        <n v="45.19"/>
        <n v="40.08"/>
        <n v="-75.459999999999994"/>
        <n v="198.8"/>
        <n v="-23.15"/>
        <n v="203.85"/>
        <n v="667.92"/>
        <n v="839.19"/>
        <n v="26.42"/>
        <n v="354.4"/>
        <n v="1324.31"/>
        <n v="1395.99"/>
        <n v="85.7"/>
        <n v="-42.17"/>
        <n v="154.49"/>
        <n v="494.35"/>
        <n v="915.73"/>
        <n v="93.63"/>
        <n v="2792.93"/>
        <n v="-422.62"/>
        <n v="-849.92"/>
        <n v="445.91"/>
        <n v="1181.2"/>
        <n v="26.21"/>
        <n v="1225.52"/>
        <n v="261.5"/>
        <n v="-6.02"/>
        <n v="1376.69"/>
        <n v="848.56"/>
        <n v="70.09"/>
        <n v="-576.89"/>
        <n v="-27.8"/>
        <n v="475.83"/>
        <n v="167.24"/>
        <n v="506.17"/>
        <n v="542.11"/>
        <n v="761.34"/>
        <n v="1461.09"/>
        <n v="15.81"/>
        <n v="1303.81"/>
        <n v="879.33"/>
        <n v="538.84"/>
        <n v="124.07"/>
        <n v="82.57"/>
        <n v="615.96"/>
        <n v="1303.4100000000001"/>
        <n v="497.16"/>
        <n v="179.41"/>
        <n v="1242.98"/>
        <n v="-25.27"/>
        <n v="-502.12"/>
        <n v="46.58"/>
        <n v="0.59"/>
        <n v="1530.52"/>
        <n v="564.17999999999995"/>
        <n v="409.59"/>
        <n v="1807.83"/>
        <n v="929.21"/>
        <n v="-15.47"/>
        <n v="1288.3499999999999"/>
        <n v="14.81"/>
        <n v="-5.19"/>
        <n v="-377.99"/>
        <n v="2028.94"/>
        <n v="-495.04"/>
        <n v="2004.09"/>
        <n v="592.13"/>
        <n v="460.42"/>
        <n v="-172.17"/>
        <n v="647.04"/>
        <n v="880.97"/>
        <n v="110.68"/>
        <n v="67.849999999999994"/>
        <n v="-325.38"/>
        <n v="3283.02"/>
        <n v="1062.1099999999999"/>
        <n v="52.92"/>
        <n v="-47.01"/>
        <n v="227.14"/>
        <n v="12.76"/>
        <n v="-959.77"/>
        <n v="-82.07"/>
        <n v="-6.41"/>
        <n v="736.3"/>
        <n v="253.61"/>
        <n v="628.12"/>
        <n v="1589.22"/>
        <n v="823.72"/>
        <n v="1296.01"/>
        <n v="75.92"/>
        <n v="-1608.91"/>
        <n v="62.21"/>
        <n v="3804"/>
        <n v="-157.31"/>
        <n v="-98.61"/>
        <n v="71.89"/>
        <n v="323.05"/>
        <n v="22.04"/>
        <n v="1901.19"/>
        <n v="-12.86"/>
        <n v="994.65"/>
        <n v="199.34"/>
        <n v="353.57"/>
        <n v="78.48"/>
        <n v="813.93"/>
        <n v="13.35"/>
        <n v="2725.17"/>
        <n v="309.26"/>
        <n v="5.58"/>
        <n v="410.47"/>
        <n v="275.36"/>
        <n v="1263.68"/>
        <n v="9.83"/>
        <n v="4.3899999999999997"/>
        <n v="108.02"/>
        <n v="755.31"/>
        <n v="300.8"/>
        <n v="34.380000000000003"/>
        <n v="644.63"/>
        <n v="779.98"/>
        <n v="795.79"/>
        <n v="-152.51"/>
        <n v="-2132.44"/>
        <n v="-891.01"/>
        <n v="-695.64"/>
        <n v="967.66"/>
        <n v="114.29"/>
        <n v="25.4"/>
        <n v="125.42"/>
        <n v="68.33"/>
        <n v="113.86"/>
        <n v="-265.52999999999997"/>
        <n v="326.52999999999997"/>
        <n v="-112.57"/>
        <n v="34.159999999999997"/>
        <n v="-13.28"/>
        <n v="-543.54"/>
        <n v="2932.53"/>
        <n v="355.71"/>
        <n v="-7.67"/>
        <n v="-755.91"/>
        <n v="17.13"/>
        <n v="491.3"/>
        <n v="596.98"/>
        <n v="-679.23"/>
        <n v="32.299999999999997"/>
        <n v="-51.74"/>
        <n v="921.94"/>
        <n v="180.07"/>
        <n v="107.46"/>
        <n v="1035.8399999999999"/>
        <n v="-191.41"/>
        <n v="44.88"/>
        <n v="1300.07"/>
        <n v="-75.92"/>
        <n v="-54.01"/>
        <n v="282.02999999999997"/>
        <n v="-455.95"/>
        <n v="814.32"/>
        <n v="1530.11"/>
        <n v="126.61"/>
        <n v="-1.57"/>
        <n v="119.04"/>
        <n v="110.8"/>
        <n v="81.260000000000005"/>
        <n v="589.05999999999995"/>
        <n v="260.43"/>
        <n v="-505.14"/>
        <n v="68.25"/>
        <n v="15.96"/>
        <n v="1046.26"/>
        <n v="279.10000000000002"/>
        <n v="476.95"/>
        <n v="-7.05"/>
        <n v="1123.68"/>
        <n v="73.260000000000005"/>
        <n v="502.24"/>
        <n v="73.41"/>
        <n v="1162.6500000000001"/>
        <n v="-617.20000000000005"/>
        <n v="-364.1"/>
        <n v="12.75"/>
        <n v="-36.65"/>
        <n v="132.93"/>
        <n v="14.12"/>
        <n v="540.85"/>
        <n v="782.62"/>
        <n v="-12.68"/>
        <n v="397.78"/>
        <n v="1105.31"/>
        <n v="576.29"/>
        <n v="-148.6"/>
        <n v="65.680000000000007"/>
        <n v="-1.1299999999999999"/>
        <n v="352.03"/>
        <n v="29.35"/>
        <n v="-219.03"/>
        <n v="29.27"/>
        <n v="194.24"/>
        <n v="-189.01"/>
        <n v="24.03"/>
        <n v="247.63"/>
        <n v="-791.36"/>
        <n v="601.28"/>
        <n v="1722.02"/>
        <n v="170.33"/>
        <n v="717.01"/>
        <n v="155.88999999999999"/>
        <n v="-127.16"/>
        <n v="729.15"/>
        <n v="8.7799999999999994"/>
        <n v="73.11"/>
        <n v="43.14"/>
        <n v="342.93"/>
        <n v="1382.34"/>
        <n v="597.38"/>
        <n v="209.28"/>
        <n v="216.92"/>
        <n v="686.58"/>
        <n v="977.7"/>
        <n v="679.71"/>
        <n v="274.3"/>
        <n v="105.8"/>
        <n v="-307.77"/>
        <n v="1437.34"/>
        <n v="128.08000000000001"/>
        <n v="-23.18"/>
        <n v="-332.03"/>
        <n v="224.18"/>
        <n v="88.28"/>
        <n v="-37.43"/>
        <n v="-63.97"/>
        <n v="-230.14"/>
        <n v="65.040000000000006"/>
        <n v="45.75"/>
        <n v="114.27"/>
        <n v="91.25"/>
        <n v="3.39"/>
        <n v="300.33999999999997"/>
        <n v="1344.22"/>
        <n v="526.41999999999996"/>
        <n v="-342.56"/>
        <n v="62.67"/>
        <n v="120.22"/>
        <n v="316.08"/>
        <n v="56.25"/>
        <n v="128.79"/>
        <n v="2359.42"/>
        <n v="431.45"/>
        <n v="940.01"/>
        <n v="867.98"/>
        <n v="-74.239999999999995"/>
        <n v="470.13"/>
        <n v="885.3"/>
        <n v="1168.75"/>
        <n v="657.03"/>
        <n v="1528.75"/>
      </sharedItems>
    </cacheField>
    <cacheField name="Sales Person" numFmtId="0">
      <sharedItems count="10">
        <s v="Amit"/>
        <s v="Vikram"/>
        <s v="Priya"/>
        <s v="Pooja"/>
        <s v="Karan"/>
        <s v="Rahul"/>
        <s v="Rohit"/>
        <s v="Anjali"/>
        <s v="Neha"/>
        <s v="Sneha"/>
      </sharedItems>
    </cacheField>
    <cacheField name="Segment" numFmtId="0">
      <sharedItems count="4">
        <s v="Home Office"/>
        <s v="Consumer"/>
        <s v="Small Business"/>
        <s v="Corporate"/>
      </sharedItems>
    </cacheField>
    <cacheField name="Year" numFmtId="0">
      <sharedItems containsSemiMixedTypes="0" containsString="0" containsNumber="1" containsInteger="1" minValue="2024" maxValue="2025" count="2">
        <n v="2025"/>
        <n v="2024"/>
      </sharedItems>
    </cacheField>
    <cacheField name="Month" numFmtId="0">
      <sharedItems count="12">
        <s v="January"/>
        <s v="February"/>
        <s v="October"/>
        <s v="March"/>
        <s v="December"/>
        <s v="September"/>
        <s v="July"/>
        <s v="May"/>
        <s v="April"/>
        <s v="June"/>
        <s v="November"/>
        <s v="August"/>
      </sharedItems>
    </cacheField>
    <cacheField name="Month Number" numFmtId="0">
      <sharedItems/>
    </cacheField>
    <cacheField name="Profit Margin %" numFmtId="9">
      <sharedItems containsSemiMixedTypes="0" containsString="0" containsNumber="1" minValue="-0.24925303764690257" maxValue="0.44844922082186245"/>
    </cacheField>
    <cacheField name="Discount Bucket" numFmtId="0">
      <sharedItems count="4">
        <s v="No Discount"/>
        <s v="High (21-30%)"/>
        <s v="Low (1-10%)"/>
        <s v="Medium (11-20%)"/>
      </sharedItems>
    </cacheField>
  </cacheFields>
  <extLst>
    <ext xmlns:x14="http://schemas.microsoft.com/office/spreadsheetml/2009/9/main" uri="{725AE2AE-9491-48be-B2B4-4EB974FC3084}">
      <x14:pivotCacheDefinition pivotCacheId="1175393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02"/>
    <s v="2025-01-31"/>
    <s v="Customer 87"/>
    <x v="0"/>
    <x v="0"/>
    <x v="0"/>
    <x v="0"/>
    <x v="0"/>
    <n v="5565.9"/>
    <n v="10"/>
    <x v="0"/>
    <x v="0"/>
    <x v="0"/>
    <x v="0"/>
    <x v="0"/>
    <x v="0"/>
    <s v="01"/>
    <n v="7.5745162507411201E-2"/>
    <x v="0"/>
  </r>
  <r>
    <s v="ORD100003"/>
    <s v="2025-02-08"/>
    <s v="Customer 64"/>
    <x v="1"/>
    <x v="1"/>
    <x v="0"/>
    <x v="1"/>
    <x v="1"/>
    <n v="997.04"/>
    <n v="4"/>
    <x v="1"/>
    <x v="1"/>
    <x v="1"/>
    <x v="1"/>
    <x v="0"/>
    <x v="1"/>
    <s v="02"/>
    <n v="-0.16220011233250423"/>
    <x v="1"/>
  </r>
  <r>
    <s v="ORD100004"/>
    <s v="2025-10-31"/>
    <s v="Customer 49"/>
    <x v="1"/>
    <x v="1"/>
    <x v="0"/>
    <x v="2"/>
    <x v="2"/>
    <n v="1711.71"/>
    <n v="7"/>
    <x v="0"/>
    <x v="2"/>
    <x v="2"/>
    <x v="2"/>
    <x v="0"/>
    <x v="2"/>
    <s v="10"/>
    <n v="0.20851078745815588"/>
    <x v="0"/>
  </r>
  <r>
    <s v="ORD100005"/>
    <s v="2025-03-26"/>
    <s v="Customer 75"/>
    <x v="1"/>
    <x v="2"/>
    <x v="0"/>
    <x v="2"/>
    <x v="2"/>
    <n v="1435.1"/>
    <n v="5"/>
    <x v="2"/>
    <x v="3"/>
    <x v="3"/>
    <x v="1"/>
    <x v="0"/>
    <x v="3"/>
    <s v="03"/>
    <n v="-8.5018465612152469E-2"/>
    <x v="1"/>
  </r>
  <r>
    <s v="ORD100006"/>
    <s v="2025-02-10"/>
    <s v="Customer 191"/>
    <x v="2"/>
    <x v="3"/>
    <x v="0"/>
    <x v="1"/>
    <x v="3"/>
    <n v="1413.08"/>
    <n v="2"/>
    <x v="3"/>
    <x v="4"/>
    <x v="1"/>
    <x v="0"/>
    <x v="0"/>
    <x v="1"/>
    <s v="02"/>
    <n v="0.29502929770430547"/>
    <x v="2"/>
  </r>
  <r>
    <s v="ORD100007"/>
    <s v="2024-12-03"/>
    <s v="Customer 166"/>
    <x v="0"/>
    <x v="4"/>
    <x v="1"/>
    <x v="3"/>
    <x v="4"/>
    <n v="6869.16"/>
    <n v="9"/>
    <x v="0"/>
    <x v="5"/>
    <x v="3"/>
    <x v="0"/>
    <x v="1"/>
    <x v="4"/>
    <s v="12"/>
    <n v="0.10498518013847399"/>
    <x v="0"/>
  </r>
  <r>
    <s v="ORD100008"/>
    <s v="2024-10-15"/>
    <s v="Customer 167"/>
    <x v="1"/>
    <x v="5"/>
    <x v="1"/>
    <x v="3"/>
    <x v="5"/>
    <n v="5509.7"/>
    <n v="10"/>
    <x v="4"/>
    <x v="6"/>
    <x v="4"/>
    <x v="0"/>
    <x v="1"/>
    <x v="2"/>
    <s v="10"/>
    <n v="-8.3073488574695542E-2"/>
    <x v="3"/>
  </r>
  <r>
    <s v="ORD100009"/>
    <s v="2025-09-03"/>
    <s v="Customer 94"/>
    <x v="1"/>
    <x v="1"/>
    <x v="2"/>
    <x v="4"/>
    <x v="6"/>
    <n v="4643.04"/>
    <n v="6"/>
    <x v="1"/>
    <x v="7"/>
    <x v="4"/>
    <x v="1"/>
    <x v="0"/>
    <x v="5"/>
    <s v="09"/>
    <n v="-0.13655708329025809"/>
    <x v="1"/>
  </r>
  <r>
    <s v="ORD100010"/>
    <s v="2024-10-02"/>
    <s v="Customer 39"/>
    <x v="2"/>
    <x v="6"/>
    <x v="1"/>
    <x v="5"/>
    <x v="7"/>
    <n v="101.16"/>
    <n v="6"/>
    <x v="2"/>
    <x v="8"/>
    <x v="1"/>
    <x v="3"/>
    <x v="1"/>
    <x v="2"/>
    <s v="10"/>
    <n v="-0.23003163305654409"/>
    <x v="1"/>
  </r>
  <r>
    <s v="ORD100011"/>
    <s v="2024-07-11"/>
    <s v="Customer 196"/>
    <x v="0"/>
    <x v="7"/>
    <x v="2"/>
    <x v="4"/>
    <x v="6"/>
    <n v="2687.4"/>
    <n v="10"/>
    <x v="5"/>
    <x v="9"/>
    <x v="2"/>
    <x v="1"/>
    <x v="1"/>
    <x v="6"/>
    <s v="07"/>
    <n v="5.4163875865148467E-2"/>
    <x v="3"/>
  </r>
  <r>
    <s v="ORD100012"/>
    <s v="2024-03-17"/>
    <s v="Customer 26"/>
    <x v="2"/>
    <x v="8"/>
    <x v="2"/>
    <x v="6"/>
    <x v="8"/>
    <n v="1715.22"/>
    <n v="3"/>
    <x v="5"/>
    <x v="10"/>
    <x v="5"/>
    <x v="3"/>
    <x v="1"/>
    <x v="3"/>
    <s v="03"/>
    <n v="0.10208602978043632"/>
    <x v="3"/>
  </r>
  <r>
    <s v="ORD100013"/>
    <s v="2024-05-16"/>
    <s v="Customer 100"/>
    <x v="1"/>
    <x v="1"/>
    <x v="0"/>
    <x v="2"/>
    <x v="2"/>
    <n v="572.04"/>
    <n v="1"/>
    <x v="5"/>
    <x v="11"/>
    <x v="3"/>
    <x v="0"/>
    <x v="1"/>
    <x v="7"/>
    <s v="05"/>
    <n v="0.20610446821900569"/>
    <x v="3"/>
  </r>
  <r>
    <s v="ORD100014"/>
    <s v="2025-05-20"/>
    <s v="Customer 16"/>
    <x v="2"/>
    <x v="8"/>
    <x v="2"/>
    <x v="6"/>
    <x v="8"/>
    <n v="4129.79"/>
    <n v="7"/>
    <x v="6"/>
    <x v="12"/>
    <x v="3"/>
    <x v="0"/>
    <x v="0"/>
    <x v="7"/>
    <s v="05"/>
    <n v="0.37524910467602468"/>
    <x v="2"/>
  </r>
  <r>
    <s v="ORD100015"/>
    <s v="2025-03-23"/>
    <s v="Customer 8"/>
    <x v="0"/>
    <x v="9"/>
    <x v="1"/>
    <x v="7"/>
    <x v="9"/>
    <n v="3401.7"/>
    <n v="10"/>
    <x v="2"/>
    <x v="13"/>
    <x v="2"/>
    <x v="2"/>
    <x v="0"/>
    <x v="3"/>
    <s v="03"/>
    <n v="-0.22283858070964518"/>
    <x v="1"/>
  </r>
  <r>
    <s v="ORD100016"/>
    <s v="2025-03-31"/>
    <s v="Customer 109"/>
    <x v="2"/>
    <x v="3"/>
    <x v="2"/>
    <x v="4"/>
    <x v="10"/>
    <n v="4558.92"/>
    <n v="4"/>
    <x v="0"/>
    <x v="14"/>
    <x v="0"/>
    <x v="2"/>
    <x v="0"/>
    <x v="3"/>
    <s v="03"/>
    <n v="0.34266668421468244"/>
    <x v="0"/>
  </r>
  <r>
    <s v="ORD100017"/>
    <s v="2025-03-27"/>
    <s v="Customer 44"/>
    <x v="2"/>
    <x v="6"/>
    <x v="0"/>
    <x v="1"/>
    <x v="1"/>
    <n v="10284.39"/>
    <n v="9"/>
    <x v="2"/>
    <x v="15"/>
    <x v="6"/>
    <x v="0"/>
    <x v="0"/>
    <x v="3"/>
    <s v="03"/>
    <n v="-0.18514564305709916"/>
    <x v="1"/>
  </r>
  <r>
    <s v="ORD100018"/>
    <s v="2025-05-08"/>
    <s v="Customer 16"/>
    <x v="2"/>
    <x v="10"/>
    <x v="0"/>
    <x v="2"/>
    <x v="11"/>
    <n v="3409.8"/>
    <n v="3"/>
    <x v="2"/>
    <x v="16"/>
    <x v="0"/>
    <x v="3"/>
    <x v="0"/>
    <x v="7"/>
    <s v="05"/>
    <n v="-0.23931315619684437"/>
    <x v="1"/>
  </r>
  <r>
    <s v="ORD100019"/>
    <s v="2024-01-26"/>
    <s v="Customer 106"/>
    <x v="0"/>
    <x v="9"/>
    <x v="2"/>
    <x v="8"/>
    <x v="12"/>
    <n v="2092.9499999999998"/>
    <n v="5"/>
    <x v="4"/>
    <x v="17"/>
    <x v="7"/>
    <x v="3"/>
    <x v="1"/>
    <x v="0"/>
    <s v="01"/>
    <n v="9.8793568886022129E-2"/>
    <x v="3"/>
  </r>
  <r>
    <s v="ORD100020"/>
    <s v="2025-12-31"/>
    <s v="Customer 190"/>
    <x v="1"/>
    <x v="1"/>
    <x v="0"/>
    <x v="0"/>
    <x v="0"/>
    <n v="4459.5"/>
    <n v="9"/>
    <x v="3"/>
    <x v="18"/>
    <x v="0"/>
    <x v="2"/>
    <x v="0"/>
    <x v="4"/>
    <s v="12"/>
    <n v="9.0714205628433686E-2"/>
    <x v="2"/>
  </r>
  <r>
    <s v="ORD100021"/>
    <s v="2025-07-16"/>
    <s v="Customer 153"/>
    <x v="1"/>
    <x v="11"/>
    <x v="2"/>
    <x v="6"/>
    <x v="13"/>
    <n v="1628.37"/>
    <n v="3"/>
    <x v="2"/>
    <x v="19"/>
    <x v="4"/>
    <x v="3"/>
    <x v="0"/>
    <x v="6"/>
    <s v="07"/>
    <n v="-0.19396697310807742"/>
    <x v="1"/>
  </r>
  <r>
    <s v="ORD100022"/>
    <s v="2024-12-20"/>
    <s v="Customer 61"/>
    <x v="0"/>
    <x v="9"/>
    <x v="1"/>
    <x v="3"/>
    <x v="14"/>
    <n v="9072.99"/>
    <n v="9"/>
    <x v="4"/>
    <x v="20"/>
    <x v="3"/>
    <x v="3"/>
    <x v="1"/>
    <x v="4"/>
    <s v="12"/>
    <n v="0.16475274413396246"/>
    <x v="3"/>
  </r>
  <r>
    <s v="ORD100023"/>
    <s v="2024-01-14"/>
    <s v="Customer 115"/>
    <x v="2"/>
    <x v="6"/>
    <x v="1"/>
    <x v="5"/>
    <x v="15"/>
    <n v="1321.02"/>
    <n v="2"/>
    <x v="2"/>
    <x v="21"/>
    <x v="3"/>
    <x v="1"/>
    <x v="1"/>
    <x v="0"/>
    <s v="01"/>
    <n v="5.0423157862863548E-2"/>
    <x v="1"/>
  </r>
  <r>
    <s v="ORD100024"/>
    <s v="2025-07-24"/>
    <s v="Customer 76"/>
    <x v="3"/>
    <x v="12"/>
    <x v="1"/>
    <x v="3"/>
    <x v="14"/>
    <n v="191.35"/>
    <n v="1"/>
    <x v="1"/>
    <x v="22"/>
    <x v="7"/>
    <x v="2"/>
    <x v="0"/>
    <x v="6"/>
    <s v="07"/>
    <n v="-0.18494904625032663"/>
    <x v="1"/>
  </r>
  <r>
    <s v="ORD100025"/>
    <s v="2024-05-18"/>
    <s v="Customer 160"/>
    <x v="3"/>
    <x v="13"/>
    <x v="2"/>
    <x v="6"/>
    <x v="8"/>
    <n v="6352.3"/>
    <n v="10"/>
    <x v="0"/>
    <x v="23"/>
    <x v="8"/>
    <x v="0"/>
    <x v="1"/>
    <x v="7"/>
    <s v="05"/>
    <n v="0.23525809549297105"/>
    <x v="0"/>
  </r>
  <r>
    <s v="ORD100026"/>
    <s v="2024-12-22"/>
    <s v="Customer 23"/>
    <x v="1"/>
    <x v="2"/>
    <x v="1"/>
    <x v="3"/>
    <x v="4"/>
    <n v="10778.04"/>
    <n v="9"/>
    <x v="5"/>
    <x v="24"/>
    <x v="3"/>
    <x v="0"/>
    <x v="1"/>
    <x v="4"/>
    <s v="12"/>
    <n v="1.4488719655892907E-2"/>
    <x v="3"/>
  </r>
  <r>
    <s v="ORD100027"/>
    <s v="2025-09-02"/>
    <s v="Customer 15"/>
    <x v="0"/>
    <x v="9"/>
    <x v="1"/>
    <x v="7"/>
    <x v="16"/>
    <n v="2001.92"/>
    <n v="8"/>
    <x v="6"/>
    <x v="25"/>
    <x v="6"/>
    <x v="0"/>
    <x v="0"/>
    <x v="5"/>
    <s v="09"/>
    <n v="0.25229279891304346"/>
    <x v="2"/>
  </r>
  <r>
    <s v="ORD100028"/>
    <s v="2024-07-30"/>
    <s v="Customer 164"/>
    <x v="3"/>
    <x v="13"/>
    <x v="1"/>
    <x v="7"/>
    <x v="17"/>
    <n v="2181.9499999999998"/>
    <n v="5"/>
    <x v="2"/>
    <x v="26"/>
    <x v="6"/>
    <x v="0"/>
    <x v="1"/>
    <x v="6"/>
    <s v="07"/>
    <n v="0.11932904053713422"/>
    <x v="1"/>
  </r>
  <r>
    <s v="ORD100029"/>
    <s v="2024-01-04"/>
    <s v="Customer 38"/>
    <x v="2"/>
    <x v="10"/>
    <x v="2"/>
    <x v="8"/>
    <x v="12"/>
    <n v="2112.54"/>
    <n v="6"/>
    <x v="6"/>
    <x v="27"/>
    <x v="3"/>
    <x v="1"/>
    <x v="1"/>
    <x v="0"/>
    <s v="01"/>
    <n v="0.11481912768515626"/>
    <x v="2"/>
  </r>
  <r>
    <s v="ORD100030"/>
    <s v="2024-10-15"/>
    <s v="Customer 59"/>
    <x v="3"/>
    <x v="14"/>
    <x v="1"/>
    <x v="3"/>
    <x v="14"/>
    <n v="2720.6"/>
    <n v="5"/>
    <x v="6"/>
    <x v="28"/>
    <x v="6"/>
    <x v="2"/>
    <x v="1"/>
    <x v="2"/>
    <s v="10"/>
    <n v="8.8513563184591637E-2"/>
    <x v="2"/>
  </r>
  <r>
    <s v="ORD100031"/>
    <s v="2025-01-19"/>
    <s v="Customer 54"/>
    <x v="2"/>
    <x v="10"/>
    <x v="2"/>
    <x v="4"/>
    <x v="10"/>
    <n v="6996.29"/>
    <n v="7"/>
    <x v="2"/>
    <x v="29"/>
    <x v="5"/>
    <x v="1"/>
    <x v="0"/>
    <x v="0"/>
    <s v="01"/>
    <n v="4.5757108410314606E-2"/>
    <x v="1"/>
  </r>
  <r>
    <s v="ORD100032"/>
    <s v="2025-01-06"/>
    <s v="Customer 159"/>
    <x v="1"/>
    <x v="2"/>
    <x v="0"/>
    <x v="0"/>
    <x v="0"/>
    <n v="9500.58"/>
    <n v="9"/>
    <x v="2"/>
    <x v="30"/>
    <x v="3"/>
    <x v="1"/>
    <x v="0"/>
    <x v="0"/>
    <s v="01"/>
    <n v="-1.4025459498262212E-2"/>
    <x v="1"/>
  </r>
  <r>
    <s v="ORD100033"/>
    <s v="2025-04-22"/>
    <s v="Customer 120"/>
    <x v="3"/>
    <x v="13"/>
    <x v="0"/>
    <x v="0"/>
    <x v="0"/>
    <n v="9145.17"/>
    <n v="9"/>
    <x v="4"/>
    <x v="31"/>
    <x v="6"/>
    <x v="2"/>
    <x v="0"/>
    <x v="8"/>
    <s v="04"/>
    <n v="-4.0937456602775014E-2"/>
    <x v="3"/>
  </r>
  <r>
    <s v="ORD100034"/>
    <s v="2024-07-10"/>
    <s v="Customer 132"/>
    <x v="0"/>
    <x v="4"/>
    <x v="1"/>
    <x v="7"/>
    <x v="9"/>
    <n v="367.5"/>
    <n v="10"/>
    <x v="6"/>
    <x v="32"/>
    <x v="1"/>
    <x v="1"/>
    <x v="1"/>
    <x v="6"/>
    <s v="07"/>
    <n v="0.38952380952380955"/>
    <x v="2"/>
  </r>
  <r>
    <s v="ORD100035"/>
    <s v="2024-06-21"/>
    <s v="Customer 161"/>
    <x v="3"/>
    <x v="12"/>
    <x v="2"/>
    <x v="6"/>
    <x v="8"/>
    <n v="1061.6600000000001"/>
    <n v="1"/>
    <x v="0"/>
    <x v="33"/>
    <x v="8"/>
    <x v="3"/>
    <x v="1"/>
    <x v="9"/>
    <s v="06"/>
    <n v="0.39824425899063726"/>
    <x v="0"/>
  </r>
  <r>
    <s v="ORD100036"/>
    <s v="2025-03-14"/>
    <s v="Customer 153"/>
    <x v="1"/>
    <x v="5"/>
    <x v="2"/>
    <x v="8"/>
    <x v="18"/>
    <n v="1527.6"/>
    <n v="8"/>
    <x v="0"/>
    <x v="34"/>
    <x v="0"/>
    <x v="2"/>
    <x v="0"/>
    <x v="3"/>
    <s v="03"/>
    <n v="0.27477088242995551"/>
    <x v="0"/>
  </r>
  <r>
    <s v="ORD100037"/>
    <s v="2024-07-03"/>
    <s v="Customer 167"/>
    <x v="0"/>
    <x v="9"/>
    <x v="2"/>
    <x v="4"/>
    <x v="6"/>
    <n v="1241.5"/>
    <n v="2"/>
    <x v="1"/>
    <x v="35"/>
    <x v="4"/>
    <x v="2"/>
    <x v="1"/>
    <x v="6"/>
    <s v="07"/>
    <n v="0.12191703584373742"/>
    <x v="1"/>
  </r>
  <r>
    <s v="ORD100038"/>
    <s v="2024-12-15"/>
    <s v="Customer 72"/>
    <x v="0"/>
    <x v="7"/>
    <x v="2"/>
    <x v="6"/>
    <x v="8"/>
    <n v="1378.65"/>
    <n v="7"/>
    <x v="6"/>
    <x v="36"/>
    <x v="1"/>
    <x v="1"/>
    <x v="1"/>
    <x v="4"/>
    <s v="12"/>
    <n v="5.3878794472853875E-2"/>
    <x v="2"/>
  </r>
  <r>
    <s v="ORD100039"/>
    <s v="2025-09-27"/>
    <s v="Customer 154"/>
    <x v="2"/>
    <x v="8"/>
    <x v="2"/>
    <x v="6"/>
    <x v="13"/>
    <n v="1707.48"/>
    <n v="3"/>
    <x v="4"/>
    <x v="37"/>
    <x v="1"/>
    <x v="3"/>
    <x v="0"/>
    <x v="5"/>
    <s v="09"/>
    <n v="7.2428373978026095E-2"/>
    <x v="3"/>
  </r>
  <r>
    <s v="ORD100040"/>
    <s v="2025-06-28"/>
    <s v="Customer 30"/>
    <x v="1"/>
    <x v="11"/>
    <x v="2"/>
    <x v="8"/>
    <x v="12"/>
    <n v="3156.15"/>
    <n v="5"/>
    <x v="1"/>
    <x v="38"/>
    <x v="7"/>
    <x v="0"/>
    <x v="0"/>
    <x v="9"/>
    <s v="06"/>
    <n v="-0.1766931229504301"/>
    <x v="1"/>
  </r>
  <r>
    <s v="ORD100041"/>
    <s v="2025-09-17"/>
    <s v="Customer 194"/>
    <x v="3"/>
    <x v="13"/>
    <x v="2"/>
    <x v="8"/>
    <x v="18"/>
    <n v="5676.9"/>
    <n v="10"/>
    <x v="0"/>
    <x v="39"/>
    <x v="6"/>
    <x v="0"/>
    <x v="0"/>
    <x v="5"/>
    <s v="09"/>
    <n v="0.1581532174250031"/>
    <x v="0"/>
  </r>
  <r>
    <s v="ORD100042"/>
    <s v="2025-05-20"/>
    <s v="Customer 199"/>
    <x v="2"/>
    <x v="10"/>
    <x v="1"/>
    <x v="3"/>
    <x v="14"/>
    <n v="8876.4"/>
    <n v="10"/>
    <x v="2"/>
    <x v="40"/>
    <x v="9"/>
    <x v="3"/>
    <x v="0"/>
    <x v="7"/>
    <s v="05"/>
    <n v="2.9798116353476635E-3"/>
    <x v="1"/>
  </r>
  <r>
    <s v="ORD100043"/>
    <s v="2025-12-12"/>
    <s v="Customer 142"/>
    <x v="2"/>
    <x v="3"/>
    <x v="0"/>
    <x v="1"/>
    <x v="19"/>
    <n v="7931.8"/>
    <n v="10"/>
    <x v="0"/>
    <x v="41"/>
    <x v="7"/>
    <x v="3"/>
    <x v="0"/>
    <x v="4"/>
    <s v="12"/>
    <n v="0.39262714642325824"/>
    <x v="0"/>
  </r>
  <r>
    <s v="ORD100044"/>
    <s v="2024-10-03"/>
    <s v="Customer 93"/>
    <x v="2"/>
    <x v="3"/>
    <x v="1"/>
    <x v="7"/>
    <x v="16"/>
    <n v="420.83"/>
    <n v="1"/>
    <x v="5"/>
    <x v="42"/>
    <x v="8"/>
    <x v="1"/>
    <x v="1"/>
    <x v="2"/>
    <s v="10"/>
    <n v="0.18301927143977378"/>
    <x v="3"/>
  </r>
  <r>
    <s v="ORD100045"/>
    <s v="2025-11-18"/>
    <s v="Customer 103"/>
    <x v="3"/>
    <x v="12"/>
    <x v="1"/>
    <x v="5"/>
    <x v="15"/>
    <n v="1287.3"/>
    <n v="2"/>
    <x v="1"/>
    <x v="43"/>
    <x v="9"/>
    <x v="1"/>
    <x v="0"/>
    <x v="10"/>
    <s v="11"/>
    <n v="9.9673735725938017E-2"/>
    <x v="1"/>
  </r>
  <r>
    <s v="ORD100046"/>
    <s v="2024-06-25"/>
    <s v="Customer 111"/>
    <x v="2"/>
    <x v="3"/>
    <x v="2"/>
    <x v="8"/>
    <x v="12"/>
    <n v="34.42"/>
    <n v="1"/>
    <x v="0"/>
    <x v="44"/>
    <x v="9"/>
    <x v="3"/>
    <x v="1"/>
    <x v="9"/>
    <s v="06"/>
    <n v="7.0598489250435797E-2"/>
    <x v="0"/>
  </r>
  <r>
    <s v="ORD100047"/>
    <s v="2024-03-04"/>
    <s v="Customer 137"/>
    <x v="1"/>
    <x v="1"/>
    <x v="2"/>
    <x v="8"/>
    <x v="20"/>
    <n v="4291.29"/>
    <n v="9"/>
    <x v="2"/>
    <x v="45"/>
    <x v="7"/>
    <x v="0"/>
    <x v="1"/>
    <x v="3"/>
    <s v="03"/>
    <n v="5.3909197467428213E-2"/>
    <x v="1"/>
  </r>
  <r>
    <s v="ORD100048"/>
    <s v="2025-11-26"/>
    <s v="Customer 151"/>
    <x v="2"/>
    <x v="3"/>
    <x v="2"/>
    <x v="6"/>
    <x v="8"/>
    <n v="9832.6"/>
    <n v="10"/>
    <x v="3"/>
    <x v="46"/>
    <x v="4"/>
    <x v="3"/>
    <x v="0"/>
    <x v="10"/>
    <s v="11"/>
    <n v="-2.9270996481093506E-2"/>
    <x v="2"/>
  </r>
  <r>
    <s v="ORD100049"/>
    <s v="2025-08-17"/>
    <s v="Customer 17"/>
    <x v="3"/>
    <x v="12"/>
    <x v="1"/>
    <x v="5"/>
    <x v="7"/>
    <n v="1748.01"/>
    <n v="3"/>
    <x v="0"/>
    <x v="47"/>
    <x v="1"/>
    <x v="2"/>
    <x v="0"/>
    <x v="11"/>
    <s v="08"/>
    <n v="0.25038758359505953"/>
    <x v="0"/>
  </r>
  <r>
    <s v="ORD100050"/>
    <s v="2024-11-19"/>
    <s v="Customer 133"/>
    <x v="2"/>
    <x v="6"/>
    <x v="0"/>
    <x v="2"/>
    <x v="21"/>
    <n v="3379.23"/>
    <n v="3"/>
    <x v="5"/>
    <x v="48"/>
    <x v="8"/>
    <x v="2"/>
    <x v="1"/>
    <x v="10"/>
    <s v="11"/>
    <n v="7.5386996445935911E-2"/>
    <x v="3"/>
  </r>
  <r>
    <s v="ORD100051"/>
    <s v="2025-05-14"/>
    <s v="Customer 104"/>
    <x v="3"/>
    <x v="14"/>
    <x v="1"/>
    <x v="7"/>
    <x v="9"/>
    <n v="144.11000000000001"/>
    <n v="1"/>
    <x v="5"/>
    <x v="49"/>
    <x v="8"/>
    <x v="3"/>
    <x v="0"/>
    <x v="7"/>
    <s v="05"/>
    <n v="8.4935119006314619E-2"/>
    <x v="3"/>
  </r>
  <r>
    <s v="ORD100052"/>
    <s v="2025-11-02"/>
    <s v="Customer 98"/>
    <x v="2"/>
    <x v="3"/>
    <x v="1"/>
    <x v="3"/>
    <x v="4"/>
    <n v="211.6"/>
    <n v="4"/>
    <x v="1"/>
    <x v="50"/>
    <x v="7"/>
    <x v="2"/>
    <x v="0"/>
    <x v="10"/>
    <s v="11"/>
    <n v="0.10137051039697542"/>
    <x v="1"/>
  </r>
  <r>
    <s v="ORD100053"/>
    <s v="2025-03-28"/>
    <s v="Customer 161"/>
    <x v="2"/>
    <x v="8"/>
    <x v="0"/>
    <x v="2"/>
    <x v="2"/>
    <n v="2255.5"/>
    <n v="2"/>
    <x v="1"/>
    <x v="51"/>
    <x v="2"/>
    <x v="0"/>
    <x v="0"/>
    <x v="3"/>
    <s v="03"/>
    <n v="7.1474174240744856E-2"/>
    <x v="1"/>
  </r>
  <r>
    <s v="ORD100054"/>
    <s v="2024-09-05"/>
    <s v="Customer 199"/>
    <x v="0"/>
    <x v="7"/>
    <x v="1"/>
    <x v="7"/>
    <x v="17"/>
    <n v="6092.17"/>
    <n v="7"/>
    <x v="4"/>
    <x v="52"/>
    <x v="8"/>
    <x v="2"/>
    <x v="1"/>
    <x v="5"/>
    <s v="09"/>
    <n v="-8.2326986935689586E-2"/>
    <x v="3"/>
  </r>
  <r>
    <s v="ORD100055"/>
    <s v="2025-03-02"/>
    <s v="Customer 186"/>
    <x v="0"/>
    <x v="4"/>
    <x v="1"/>
    <x v="5"/>
    <x v="7"/>
    <n v="6303.06"/>
    <n v="9"/>
    <x v="5"/>
    <x v="53"/>
    <x v="2"/>
    <x v="2"/>
    <x v="0"/>
    <x v="3"/>
    <s v="03"/>
    <n v="-8.4923830647336357E-2"/>
    <x v="3"/>
  </r>
  <r>
    <s v="ORD100056"/>
    <s v="2025-04-14"/>
    <s v="Customer 144"/>
    <x v="1"/>
    <x v="11"/>
    <x v="0"/>
    <x v="0"/>
    <x v="22"/>
    <n v="4241.28"/>
    <n v="4"/>
    <x v="3"/>
    <x v="54"/>
    <x v="0"/>
    <x v="1"/>
    <x v="0"/>
    <x v="8"/>
    <s v="04"/>
    <n v="-2.3466972234797046E-2"/>
    <x v="2"/>
  </r>
  <r>
    <s v="ORD100057"/>
    <s v="2025-07-21"/>
    <s v="Customer 26"/>
    <x v="3"/>
    <x v="15"/>
    <x v="1"/>
    <x v="3"/>
    <x v="14"/>
    <n v="4413.8999999999996"/>
    <n v="5"/>
    <x v="3"/>
    <x v="55"/>
    <x v="5"/>
    <x v="1"/>
    <x v="0"/>
    <x v="6"/>
    <s v="07"/>
    <n v="0.23896780624844244"/>
    <x v="2"/>
  </r>
  <r>
    <s v="ORD100058"/>
    <s v="2025-03-25"/>
    <s v="Customer 109"/>
    <x v="2"/>
    <x v="8"/>
    <x v="0"/>
    <x v="2"/>
    <x v="11"/>
    <n v="631.05999999999995"/>
    <n v="2"/>
    <x v="4"/>
    <x v="56"/>
    <x v="7"/>
    <x v="1"/>
    <x v="0"/>
    <x v="3"/>
    <s v="03"/>
    <n v="5.3037746014642034E-2"/>
    <x v="3"/>
  </r>
  <r>
    <s v="ORD100059"/>
    <s v="2025-08-21"/>
    <s v="Customer 44"/>
    <x v="1"/>
    <x v="1"/>
    <x v="1"/>
    <x v="7"/>
    <x v="16"/>
    <n v="3151.8"/>
    <n v="3"/>
    <x v="5"/>
    <x v="57"/>
    <x v="2"/>
    <x v="2"/>
    <x v="0"/>
    <x v="11"/>
    <s v="08"/>
    <n v="-9.9495526365886142E-2"/>
    <x v="3"/>
  </r>
  <r>
    <s v="ORD100060"/>
    <s v="2025-05-29"/>
    <s v="Customer 27"/>
    <x v="3"/>
    <x v="13"/>
    <x v="1"/>
    <x v="7"/>
    <x v="17"/>
    <n v="481.87"/>
    <n v="1"/>
    <x v="0"/>
    <x v="58"/>
    <x v="4"/>
    <x v="0"/>
    <x v="0"/>
    <x v="7"/>
    <s v="05"/>
    <n v="0.14117915620395544"/>
    <x v="0"/>
  </r>
  <r>
    <s v="ORD100061"/>
    <s v="2024-04-06"/>
    <s v="Customer 43"/>
    <x v="1"/>
    <x v="5"/>
    <x v="2"/>
    <x v="6"/>
    <x v="23"/>
    <n v="227.48"/>
    <n v="4"/>
    <x v="0"/>
    <x v="59"/>
    <x v="0"/>
    <x v="1"/>
    <x v="1"/>
    <x v="8"/>
    <s v="04"/>
    <n v="0.11649375769298401"/>
    <x v="0"/>
  </r>
  <r>
    <s v="ORD100062"/>
    <s v="2024-04-29"/>
    <s v="Customer 92"/>
    <x v="2"/>
    <x v="6"/>
    <x v="0"/>
    <x v="2"/>
    <x v="2"/>
    <n v="393.15"/>
    <n v="1"/>
    <x v="1"/>
    <x v="60"/>
    <x v="6"/>
    <x v="1"/>
    <x v="1"/>
    <x v="8"/>
    <s v="04"/>
    <n v="0.16662851329009287"/>
    <x v="1"/>
  </r>
  <r>
    <s v="ORD100063"/>
    <s v="2024-09-11"/>
    <s v="Customer 42"/>
    <x v="2"/>
    <x v="6"/>
    <x v="0"/>
    <x v="2"/>
    <x v="2"/>
    <n v="6072.3"/>
    <n v="6"/>
    <x v="6"/>
    <x v="61"/>
    <x v="8"/>
    <x v="3"/>
    <x v="1"/>
    <x v="5"/>
    <s v="09"/>
    <n v="0.24924328508143537"/>
    <x v="2"/>
  </r>
  <r>
    <s v="ORD100064"/>
    <s v="2024-02-15"/>
    <s v="Customer 10"/>
    <x v="0"/>
    <x v="7"/>
    <x v="2"/>
    <x v="6"/>
    <x v="23"/>
    <n v="4085.88"/>
    <n v="4"/>
    <x v="1"/>
    <x v="62"/>
    <x v="0"/>
    <x v="3"/>
    <x v="1"/>
    <x v="1"/>
    <s v="02"/>
    <n v="-0.10668448412581867"/>
    <x v="1"/>
  </r>
  <r>
    <s v="ORD100065"/>
    <s v="2025-02-06"/>
    <s v="Customer 176"/>
    <x v="3"/>
    <x v="15"/>
    <x v="1"/>
    <x v="7"/>
    <x v="9"/>
    <n v="1820.8"/>
    <n v="2"/>
    <x v="6"/>
    <x v="63"/>
    <x v="2"/>
    <x v="1"/>
    <x v="0"/>
    <x v="1"/>
    <s v="02"/>
    <n v="0.29592486818980673"/>
    <x v="2"/>
  </r>
  <r>
    <s v="ORD100066"/>
    <s v="2024-10-04"/>
    <s v="Customer 125"/>
    <x v="3"/>
    <x v="14"/>
    <x v="1"/>
    <x v="3"/>
    <x v="4"/>
    <n v="200.08"/>
    <n v="1"/>
    <x v="6"/>
    <x v="64"/>
    <x v="6"/>
    <x v="2"/>
    <x v="1"/>
    <x v="2"/>
    <s v="10"/>
    <n v="0.18222710915633747"/>
    <x v="2"/>
  </r>
  <r>
    <s v="ORD100067"/>
    <s v="2025-02-18"/>
    <s v="Customer 47"/>
    <x v="3"/>
    <x v="13"/>
    <x v="1"/>
    <x v="5"/>
    <x v="24"/>
    <n v="1923.48"/>
    <n v="6"/>
    <x v="0"/>
    <x v="65"/>
    <x v="1"/>
    <x v="2"/>
    <x v="0"/>
    <x v="1"/>
    <s v="02"/>
    <n v="0.37694699191049552"/>
    <x v="0"/>
  </r>
  <r>
    <s v="ORD100068"/>
    <s v="2024-11-09"/>
    <s v="Customer 183"/>
    <x v="2"/>
    <x v="3"/>
    <x v="2"/>
    <x v="4"/>
    <x v="10"/>
    <n v="1025.8800000000001"/>
    <n v="1"/>
    <x v="3"/>
    <x v="66"/>
    <x v="8"/>
    <x v="1"/>
    <x v="1"/>
    <x v="10"/>
    <s v="11"/>
    <n v="0.22560143486567627"/>
    <x v="2"/>
  </r>
  <r>
    <s v="ORD100069"/>
    <s v="2025-12-30"/>
    <s v="Customer 28"/>
    <x v="3"/>
    <x v="12"/>
    <x v="1"/>
    <x v="5"/>
    <x v="15"/>
    <n v="650.30999999999995"/>
    <n v="3"/>
    <x v="0"/>
    <x v="67"/>
    <x v="0"/>
    <x v="0"/>
    <x v="0"/>
    <x v="4"/>
    <s v="12"/>
    <n v="6.8905598868232082E-2"/>
    <x v="0"/>
  </r>
  <r>
    <s v="ORD100070"/>
    <s v="2024-05-25"/>
    <s v="Customer 24"/>
    <x v="2"/>
    <x v="8"/>
    <x v="0"/>
    <x v="1"/>
    <x v="1"/>
    <n v="5336.1"/>
    <n v="7"/>
    <x v="2"/>
    <x v="68"/>
    <x v="1"/>
    <x v="3"/>
    <x v="1"/>
    <x v="7"/>
    <s v="05"/>
    <n v="-3.6680347069957459E-2"/>
    <x v="1"/>
  </r>
  <r>
    <s v="ORD100071"/>
    <s v="2025-08-08"/>
    <s v="Customer 176"/>
    <x v="2"/>
    <x v="3"/>
    <x v="2"/>
    <x v="4"/>
    <x v="10"/>
    <n v="1407.5"/>
    <n v="10"/>
    <x v="5"/>
    <x v="69"/>
    <x v="2"/>
    <x v="0"/>
    <x v="0"/>
    <x v="11"/>
    <s v="08"/>
    <n v="-2.1257548845470695E-2"/>
    <x v="3"/>
  </r>
  <r>
    <s v="ORD100072"/>
    <s v="2025-09-12"/>
    <s v="Customer 121"/>
    <x v="0"/>
    <x v="0"/>
    <x v="1"/>
    <x v="7"/>
    <x v="17"/>
    <n v="7536.51"/>
    <n v="9"/>
    <x v="6"/>
    <x v="70"/>
    <x v="6"/>
    <x v="3"/>
    <x v="0"/>
    <x v="5"/>
    <s v="09"/>
    <n v="7.2258910291368286E-2"/>
    <x v="2"/>
  </r>
  <r>
    <s v="ORD100073"/>
    <s v="2024-11-18"/>
    <s v="Customer 123"/>
    <x v="3"/>
    <x v="13"/>
    <x v="2"/>
    <x v="8"/>
    <x v="12"/>
    <n v="2154.48"/>
    <n v="6"/>
    <x v="0"/>
    <x v="71"/>
    <x v="5"/>
    <x v="1"/>
    <x v="1"/>
    <x v="10"/>
    <s v="11"/>
    <n v="0.12761315955590211"/>
    <x v="0"/>
  </r>
  <r>
    <s v="ORD100074"/>
    <s v="2024-12-19"/>
    <s v="Customer 3"/>
    <x v="0"/>
    <x v="9"/>
    <x v="2"/>
    <x v="4"/>
    <x v="10"/>
    <n v="561.29999999999995"/>
    <n v="6"/>
    <x v="1"/>
    <x v="72"/>
    <x v="3"/>
    <x v="1"/>
    <x v="1"/>
    <x v="4"/>
    <s v="12"/>
    <n v="5.2574380901478715E-2"/>
    <x v="1"/>
  </r>
  <r>
    <s v="ORD100075"/>
    <s v="2024-12-20"/>
    <s v="Customer 41"/>
    <x v="3"/>
    <x v="13"/>
    <x v="1"/>
    <x v="5"/>
    <x v="15"/>
    <n v="768.74"/>
    <n v="2"/>
    <x v="0"/>
    <x v="73"/>
    <x v="3"/>
    <x v="1"/>
    <x v="1"/>
    <x v="4"/>
    <s v="12"/>
    <n v="0.13091552410437859"/>
    <x v="0"/>
  </r>
  <r>
    <s v="ORD100076"/>
    <s v="2025-01-03"/>
    <s v="Customer 21"/>
    <x v="3"/>
    <x v="14"/>
    <x v="2"/>
    <x v="8"/>
    <x v="12"/>
    <n v="1871.22"/>
    <n v="2"/>
    <x v="4"/>
    <x v="74"/>
    <x v="3"/>
    <x v="1"/>
    <x v="0"/>
    <x v="0"/>
    <s v="01"/>
    <n v="-3.8750120242408696E-2"/>
    <x v="3"/>
  </r>
  <r>
    <s v="ORD100077"/>
    <s v="2024-04-27"/>
    <s v="Customer 30"/>
    <x v="2"/>
    <x v="6"/>
    <x v="0"/>
    <x v="0"/>
    <x v="22"/>
    <n v="3532.72"/>
    <n v="8"/>
    <x v="2"/>
    <x v="75"/>
    <x v="3"/>
    <x v="2"/>
    <x v="1"/>
    <x v="8"/>
    <s v="04"/>
    <n v="6.3877125840711979E-2"/>
    <x v="1"/>
  </r>
  <r>
    <s v="ORD100078"/>
    <s v="2025-06-18"/>
    <s v="Customer 200"/>
    <x v="3"/>
    <x v="14"/>
    <x v="0"/>
    <x v="1"/>
    <x v="3"/>
    <n v="76.25"/>
    <n v="1"/>
    <x v="1"/>
    <x v="76"/>
    <x v="8"/>
    <x v="1"/>
    <x v="0"/>
    <x v="9"/>
    <s v="06"/>
    <n v="-0.15554098360655738"/>
    <x v="1"/>
  </r>
  <r>
    <s v="ORD100079"/>
    <s v="2024-01-11"/>
    <s v="Customer 185"/>
    <x v="0"/>
    <x v="9"/>
    <x v="2"/>
    <x v="4"/>
    <x v="6"/>
    <n v="1343.16"/>
    <n v="4"/>
    <x v="4"/>
    <x v="77"/>
    <x v="1"/>
    <x v="1"/>
    <x v="1"/>
    <x v="0"/>
    <s v="01"/>
    <n v="1.8851067631555436E-2"/>
    <x v="3"/>
  </r>
  <r>
    <s v="ORD100080"/>
    <s v="2025-04-30"/>
    <s v="Customer 139"/>
    <x v="0"/>
    <x v="4"/>
    <x v="0"/>
    <x v="1"/>
    <x v="19"/>
    <n v="6681.51"/>
    <n v="9"/>
    <x v="6"/>
    <x v="78"/>
    <x v="1"/>
    <x v="0"/>
    <x v="0"/>
    <x v="8"/>
    <s v="04"/>
    <n v="0.12955754013688522"/>
    <x v="2"/>
  </r>
  <r>
    <s v="ORD100081"/>
    <s v="2025-09-07"/>
    <s v="Customer 105"/>
    <x v="0"/>
    <x v="0"/>
    <x v="0"/>
    <x v="2"/>
    <x v="2"/>
    <n v="3095.55"/>
    <n v="3"/>
    <x v="0"/>
    <x v="79"/>
    <x v="9"/>
    <x v="2"/>
    <x v="0"/>
    <x v="5"/>
    <s v="09"/>
    <n v="0.19178175122353053"/>
    <x v="0"/>
  </r>
  <r>
    <s v="ORD100082"/>
    <s v="2025-04-21"/>
    <s v="Customer 164"/>
    <x v="1"/>
    <x v="2"/>
    <x v="0"/>
    <x v="1"/>
    <x v="1"/>
    <n v="2925.52"/>
    <n v="4"/>
    <x v="4"/>
    <x v="80"/>
    <x v="3"/>
    <x v="0"/>
    <x v="0"/>
    <x v="8"/>
    <s v="04"/>
    <n v="2.4180316661653312E-2"/>
    <x v="3"/>
  </r>
  <r>
    <s v="ORD100083"/>
    <s v="2024-09-16"/>
    <s v="Customer 138"/>
    <x v="0"/>
    <x v="9"/>
    <x v="1"/>
    <x v="7"/>
    <x v="17"/>
    <n v="2395.2600000000002"/>
    <n v="9"/>
    <x v="6"/>
    <x v="81"/>
    <x v="8"/>
    <x v="1"/>
    <x v="1"/>
    <x v="5"/>
    <s v="09"/>
    <n v="0.36629008959361403"/>
    <x v="2"/>
  </r>
  <r>
    <s v="ORD100084"/>
    <s v="2025-10-01"/>
    <s v="Customer 143"/>
    <x v="1"/>
    <x v="1"/>
    <x v="1"/>
    <x v="5"/>
    <x v="7"/>
    <n v="5777.76"/>
    <n v="6"/>
    <x v="3"/>
    <x v="82"/>
    <x v="9"/>
    <x v="1"/>
    <x v="0"/>
    <x v="2"/>
    <s v="10"/>
    <n v="0.3112936501343081"/>
    <x v="2"/>
  </r>
  <r>
    <s v="ORD100085"/>
    <s v="2024-08-08"/>
    <s v="Customer 72"/>
    <x v="2"/>
    <x v="10"/>
    <x v="0"/>
    <x v="2"/>
    <x v="2"/>
    <n v="5832.99"/>
    <n v="9"/>
    <x v="6"/>
    <x v="83"/>
    <x v="8"/>
    <x v="0"/>
    <x v="1"/>
    <x v="11"/>
    <s v="08"/>
    <n v="0.35340537185902943"/>
    <x v="2"/>
  </r>
  <r>
    <s v="ORD100086"/>
    <s v="2025-11-15"/>
    <s v="Customer 14"/>
    <x v="1"/>
    <x v="11"/>
    <x v="1"/>
    <x v="7"/>
    <x v="9"/>
    <n v="8823.2000000000007"/>
    <n v="10"/>
    <x v="2"/>
    <x v="84"/>
    <x v="2"/>
    <x v="1"/>
    <x v="0"/>
    <x v="10"/>
    <s v="11"/>
    <n v="6.6063333031099819E-2"/>
    <x v="1"/>
  </r>
  <r>
    <s v="ORD100087"/>
    <s v="2024-05-15"/>
    <s v="Customer 53"/>
    <x v="1"/>
    <x v="2"/>
    <x v="1"/>
    <x v="5"/>
    <x v="15"/>
    <n v="1629.2"/>
    <n v="10"/>
    <x v="2"/>
    <x v="85"/>
    <x v="3"/>
    <x v="2"/>
    <x v="1"/>
    <x v="7"/>
    <s v="05"/>
    <n v="-7.5147311563957778E-2"/>
    <x v="1"/>
  </r>
  <r>
    <s v="ORD100088"/>
    <s v="2024-12-31"/>
    <s v="Customer 166"/>
    <x v="0"/>
    <x v="4"/>
    <x v="2"/>
    <x v="8"/>
    <x v="12"/>
    <n v="5188.9799999999996"/>
    <n v="6"/>
    <x v="4"/>
    <x v="86"/>
    <x v="0"/>
    <x v="2"/>
    <x v="1"/>
    <x v="4"/>
    <s v="12"/>
    <n v="-0.14991000158027204"/>
    <x v="3"/>
  </r>
  <r>
    <s v="ORD100089"/>
    <s v="2025-06-20"/>
    <s v="Customer 52"/>
    <x v="3"/>
    <x v="12"/>
    <x v="1"/>
    <x v="7"/>
    <x v="9"/>
    <n v="2389.2600000000002"/>
    <n v="6"/>
    <x v="3"/>
    <x v="87"/>
    <x v="4"/>
    <x v="1"/>
    <x v="0"/>
    <x v="9"/>
    <s v="06"/>
    <n v="0.19764278479529226"/>
    <x v="2"/>
  </r>
  <r>
    <s v="ORD100090"/>
    <s v="2025-02-27"/>
    <s v="Customer 131"/>
    <x v="3"/>
    <x v="12"/>
    <x v="0"/>
    <x v="0"/>
    <x v="22"/>
    <n v="5299"/>
    <n v="10"/>
    <x v="5"/>
    <x v="88"/>
    <x v="8"/>
    <x v="2"/>
    <x v="0"/>
    <x v="1"/>
    <s v="02"/>
    <n v="1.307982638233629E-2"/>
    <x v="3"/>
  </r>
  <r>
    <s v="ORD100091"/>
    <s v="2025-12-14"/>
    <s v="Customer 191"/>
    <x v="0"/>
    <x v="4"/>
    <x v="2"/>
    <x v="4"/>
    <x v="10"/>
    <n v="3124.14"/>
    <n v="6"/>
    <x v="0"/>
    <x v="89"/>
    <x v="4"/>
    <x v="0"/>
    <x v="0"/>
    <x v="4"/>
    <s v="12"/>
    <n v="0.11913678644362929"/>
    <x v="0"/>
  </r>
  <r>
    <s v="ORD100092"/>
    <s v="2025-09-04"/>
    <s v="Customer 11"/>
    <x v="1"/>
    <x v="5"/>
    <x v="0"/>
    <x v="0"/>
    <x v="22"/>
    <n v="1693.2"/>
    <n v="6"/>
    <x v="4"/>
    <x v="90"/>
    <x v="2"/>
    <x v="3"/>
    <x v="0"/>
    <x v="5"/>
    <s v="09"/>
    <n v="-8.0557524214505086E-2"/>
    <x v="3"/>
  </r>
  <r>
    <s v="ORD100093"/>
    <s v="2025-08-16"/>
    <s v="Customer 95"/>
    <x v="3"/>
    <x v="14"/>
    <x v="1"/>
    <x v="7"/>
    <x v="9"/>
    <n v="708.04"/>
    <n v="4"/>
    <x v="3"/>
    <x v="91"/>
    <x v="4"/>
    <x v="2"/>
    <x v="0"/>
    <x v="11"/>
    <s v="08"/>
    <n v="0.16685497994463591"/>
    <x v="2"/>
  </r>
  <r>
    <s v="ORD100094"/>
    <s v="2024-12-30"/>
    <s v="Customer 48"/>
    <x v="3"/>
    <x v="12"/>
    <x v="0"/>
    <x v="0"/>
    <x v="25"/>
    <n v="374.34"/>
    <n v="3"/>
    <x v="4"/>
    <x v="92"/>
    <x v="8"/>
    <x v="2"/>
    <x v="1"/>
    <x v="4"/>
    <s v="12"/>
    <n v="8.425495538814981E-2"/>
    <x v="3"/>
  </r>
  <r>
    <s v="ORD100095"/>
    <s v="2024-12-16"/>
    <s v="Customer 108"/>
    <x v="3"/>
    <x v="12"/>
    <x v="0"/>
    <x v="0"/>
    <x v="22"/>
    <n v="607.28"/>
    <n v="2"/>
    <x v="1"/>
    <x v="93"/>
    <x v="1"/>
    <x v="3"/>
    <x v="1"/>
    <x v="4"/>
    <s v="12"/>
    <n v="-0.14785601370043475"/>
    <x v="1"/>
  </r>
  <r>
    <s v="ORD100096"/>
    <s v="2025-12-15"/>
    <s v="Customer 38"/>
    <x v="0"/>
    <x v="0"/>
    <x v="2"/>
    <x v="4"/>
    <x v="6"/>
    <n v="682.04"/>
    <n v="4"/>
    <x v="2"/>
    <x v="94"/>
    <x v="8"/>
    <x v="3"/>
    <x v="0"/>
    <x v="4"/>
    <s v="12"/>
    <n v="9.8953140578265208E-2"/>
    <x v="1"/>
  </r>
  <r>
    <s v="ORD100097"/>
    <s v="2024-06-03"/>
    <s v="Customer 69"/>
    <x v="1"/>
    <x v="5"/>
    <x v="0"/>
    <x v="1"/>
    <x v="1"/>
    <n v="4500.5"/>
    <n v="5"/>
    <x v="2"/>
    <x v="95"/>
    <x v="2"/>
    <x v="1"/>
    <x v="1"/>
    <x v="9"/>
    <s v="06"/>
    <n v="7.3762915231640941E-2"/>
    <x v="1"/>
  </r>
  <r>
    <s v="ORD100098"/>
    <s v="2025-11-03"/>
    <s v="Customer 124"/>
    <x v="2"/>
    <x v="6"/>
    <x v="0"/>
    <x v="2"/>
    <x v="21"/>
    <n v="4682"/>
    <n v="10"/>
    <x v="5"/>
    <x v="96"/>
    <x v="2"/>
    <x v="1"/>
    <x v="0"/>
    <x v="10"/>
    <s v="11"/>
    <n v="2.3244340025630073E-2"/>
    <x v="3"/>
  </r>
  <r>
    <s v="ORD100099"/>
    <s v="2025-07-05"/>
    <s v="Customer 190"/>
    <x v="3"/>
    <x v="13"/>
    <x v="0"/>
    <x v="0"/>
    <x v="0"/>
    <n v="2116.17"/>
    <n v="9"/>
    <x v="5"/>
    <x v="97"/>
    <x v="5"/>
    <x v="3"/>
    <x v="0"/>
    <x v="6"/>
    <s v="07"/>
    <n v="6.4597834767528117E-2"/>
    <x v="3"/>
  </r>
  <r>
    <s v="ORD100100"/>
    <s v="2025-02-15"/>
    <s v="Customer 186"/>
    <x v="2"/>
    <x v="6"/>
    <x v="0"/>
    <x v="2"/>
    <x v="11"/>
    <n v="635.54"/>
    <n v="2"/>
    <x v="4"/>
    <x v="98"/>
    <x v="7"/>
    <x v="3"/>
    <x v="0"/>
    <x v="1"/>
    <s v="02"/>
    <n v="0.17673159832583316"/>
    <x v="3"/>
  </r>
  <r>
    <s v="ORD100101"/>
    <s v="2024-02-12"/>
    <s v="Customer 125"/>
    <x v="0"/>
    <x v="4"/>
    <x v="0"/>
    <x v="1"/>
    <x v="1"/>
    <n v="1950.06"/>
    <n v="3"/>
    <x v="6"/>
    <x v="99"/>
    <x v="1"/>
    <x v="3"/>
    <x v="1"/>
    <x v="1"/>
    <s v="02"/>
    <n v="0.10481728767319981"/>
    <x v="2"/>
  </r>
  <r>
    <s v="ORD100102"/>
    <s v="2024-09-21"/>
    <s v="Customer 12"/>
    <x v="1"/>
    <x v="1"/>
    <x v="1"/>
    <x v="3"/>
    <x v="14"/>
    <n v="4904.46"/>
    <n v="6"/>
    <x v="0"/>
    <x v="100"/>
    <x v="6"/>
    <x v="0"/>
    <x v="1"/>
    <x v="5"/>
    <s v="09"/>
    <n v="0.43136859103754543"/>
    <x v="0"/>
  </r>
  <r>
    <s v="ORD100103"/>
    <s v="2025-06-30"/>
    <s v="Customer 86"/>
    <x v="2"/>
    <x v="10"/>
    <x v="1"/>
    <x v="7"/>
    <x v="16"/>
    <n v="5038.88"/>
    <n v="7"/>
    <x v="1"/>
    <x v="101"/>
    <x v="2"/>
    <x v="1"/>
    <x v="0"/>
    <x v="9"/>
    <s v="06"/>
    <n v="-0.13712372590734451"/>
    <x v="1"/>
  </r>
  <r>
    <s v="ORD100104"/>
    <s v="2024-07-28"/>
    <s v="Customer 132"/>
    <x v="0"/>
    <x v="4"/>
    <x v="1"/>
    <x v="7"/>
    <x v="16"/>
    <n v="1862.9"/>
    <n v="10"/>
    <x v="6"/>
    <x v="102"/>
    <x v="4"/>
    <x v="3"/>
    <x v="1"/>
    <x v="6"/>
    <s v="07"/>
    <n v="8.8104568146438342E-2"/>
    <x v="2"/>
  </r>
  <r>
    <s v="ORD100105"/>
    <s v="2025-03-07"/>
    <s v="Customer 78"/>
    <x v="3"/>
    <x v="14"/>
    <x v="2"/>
    <x v="6"/>
    <x v="13"/>
    <n v="5749.47"/>
    <n v="9"/>
    <x v="3"/>
    <x v="103"/>
    <x v="5"/>
    <x v="1"/>
    <x v="0"/>
    <x v="3"/>
    <s v="03"/>
    <n v="-1.9360045360702811E-2"/>
    <x v="2"/>
  </r>
  <r>
    <s v="ORD100106"/>
    <s v="2024-04-23"/>
    <s v="Customer 67"/>
    <x v="0"/>
    <x v="9"/>
    <x v="1"/>
    <x v="3"/>
    <x v="14"/>
    <n v="2452.08"/>
    <n v="3"/>
    <x v="1"/>
    <x v="104"/>
    <x v="2"/>
    <x v="1"/>
    <x v="1"/>
    <x v="8"/>
    <s v="04"/>
    <n v="0.11687628462366643"/>
    <x v="1"/>
  </r>
  <r>
    <s v="ORD100107"/>
    <s v="2025-11-12"/>
    <s v="Customer 122"/>
    <x v="2"/>
    <x v="8"/>
    <x v="2"/>
    <x v="4"/>
    <x v="26"/>
    <n v="9498.48"/>
    <n v="8"/>
    <x v="5"/>
    <x v="105"/>
    <x v="3"/>
    <x v="3"/>
    <x v="0"/>
    <x v="10"/>
    <s v="11"/>
    <n v="5.0523873293411153E-2"/>
    <x v="3"/>
  </r>
  <r>
    <s v="ORD100108"/>
    <s v="2025-06-02"/>
    <s v="Customer 139"/>
    <x v="1"/>
    <x v="11"/>
    <x v="1"/>
    <x v="7"/>
    <x v="9"/>
    <n v="3163.2"/>
    <n v="3"/>
    <x v="2"/>
    <x v="106"/>
    <x v="9"/>
    <x v="2"/>
    <x v="0"/>
    <x v="9"/>
    <s v="06"/>
    <n v="3.6270232675771376E-2"/>
    <x v="1"/>
  </r>
  <r>
    <s v="ORD100109"/>
    <s v="2025-03-27"/>
    <s v="Customer 89"/>
    <x v="3"/>
    <x v="13"/>
    <x v="2"/>
    <x v="8"/>
    <x v="12"/>
    <n v="72.599999999999994"/>
    <n v="4"/>
    <x v="0"/>
    <x v="107"/>
    <x v="0"/>
    <x v="2"/>
    <x v="0"/>
    <x v="3"/>
    <s v="03"/>
    <n v="6.4462809917355368E-2"/>
    <x v="0"/>
  </r>
  <r>
    <s v="ORD100110"/>
    <s v="2025-01-04"/>
    <s v="Customer 185"/>
    <x v="2"/>
    <x v="10"/>
    <x v="2"/>
    <x v="8"/>
    <x v="12"/>
    <n v="2205.54"/>
    <n v="2"/>
    <x v="2"/>
    <x v="108"/>
    <x v="6"/>
    <x v="0"/>
    <x v="0"/>
    <x v="0"/>
    <s v="01"/>
    <n v="-0.19245626921298187"/>
    <x v="1"/>
  </r>
  <r>
    <s v="ORD100111"/>
    <s v="2024-01-21"/>
    <s v="Customer 92"/>
    <x v="1"/>
    <x v="1"/>
    <x v="1"/>
    <x v="7"/>
    <x v="17"/>
    <n v="1273.83"/>
    <n v="3"/>
    <x v="4"/>
    <x v="109"/>
    <x v="7"/>
    <x v="3"/>
    <x v="1"/>
    <x v="0"/>
    <s v="01"/>
    <n v="7.4703845882103576E-2"/>
    <x v="3"/>
  </r>
  <r>
    <s v="ORD100112"/>
    <s v="2025-10-02"/>
    <s v="Customer 10"/>
    <x v="1"/>
    <x v="5"/>
    <x v="2"/>
    <x v="6"/>
    <x v="23"/>
    <n v="4671.59"/>
    <n v="7"/>
    <x v="6"/>
    <x v="110"/>
    <x v="6"/>
    <x v="3"/>
    <x v="0"/>
    <x v="2"/>
    <s v="10"/>
    <n v="8.102594619818948E-2"/>
    <x v="2"/>
  </r>
  <r>
    <s v="ORD100113"/>
    <s v="2024-09-02"/>
    <s v="Customer 179"/>
    <x v="1"/>
    <x v="5"/>
    <x v="2"/>
    <x v="6"/>
    <x v="23"/>
    <n v="5792.94"/>
    <n v="6"/>
    <x v="5"/>
    <x v="111"/>
    <x v="5"/>
    <x v="2"/>
    <x v="1"/>
    <x v="5"/>
    <s v="09"/>
    <n v="0.24840409187735418"/>
    <x v="3"/>
  </r>
  <r>
    <s v="ORD100114"/>
    <s v="2025-07-28"/>
    <s v="Customer 16"/>
    <x v="0"/>
    <x v="4"/>
    <x v="0"/>
    <x v="1"/>
    <x v="1"/>
    <n v="879.2"/>
    <n v="7"/>
    <x v="5"/>
    <x v="112"/>
    <x v="2"/>
    <x v="2"/>
    <x v="0"/>
    <x v="6"/>
    <s v="07"/>
    <n v="0.18720427661510464"/>
    <x v="3"/>
  </r>
  <r>
    <s v="ORD100115"/>
    <s v="2024-07-04"/>
    <s v="Customer 95"/>
    <x v="0"/>
    <x v="4"/>
    <x v="0"/>
    <x v="0"/>
    <x v="25"/>
    <n v="3731.34"/>
    <n v="6"/>
    <x v="4"/>
    <x v="113"/>
    <x v="2"/>
    <x v="1"/>
    <x v="1"/>
    <x v="6"/>
    <s v="07"/>
    <n v="0.22694795971420456"/>
    <x v="3"/>
  </r>
  <r>
    <s v="ORD100116"/>
    <s v="2024-10-26"/>
    <s v="Customer 156"/>
    <x v="3"/>
    <x v="14"/>
    <x v="1"/>
    <x v="3"/>
    <x v="4"/>
    <n v="416.8"/>
    <n v="10"/>
    <x v="0"/>
    <x v="114"/>
    <x v="9"/>
    <x v="3"/>
    <x v="1"/>
    <x v="2"/>
    <s v="10"/>
    <n v="0.37320057581573896"/>
    <x v="0"/>
  </r>
  <r>
    <s v="ORD100117"/>
    <s v="2025-06-28"/>
    <s v="Customer 95"/>
    <x v="0"/>
    <x v="0"/>
    <x v="0"/>
    <x v="1"/>
    <x v="3"/>
    <n v="11511.7"/>
    <n v="10"/>
    <x v="4"/>
    <x v="115"/>
    <x v="1"/>
    <x v="3"/>
    <x v="0"/>
    <x v="9"/>
    <s v="06"/>
    <n v="0.13951718686206205"/>
    <x v="3"/>
  </r>
  <r>
    <s v="ORD100118"/>
    <s v="2025-12-24"/>
    <s v="Customer 176"/>
    <x v="2"/>
    <x v="10"/>
    <x v="2"/>
    <x v="8"/>
    <x v="18"/>
    <n v="4603.12"/>
    <n v="8"/>
    <x v="5"/>
    <x v="116"/>
    <x v="0"/>
    <x v="3"/>
    <x v="0"/>
    <x v="4"/>
    <s v="12"/>
    <n v="6.3554719407706087E-2"/>
    <x v="3"/>
  </r>
  <r>
    <s v="ORD100119"/>
    <s v="2024-03-21"/>
    <s v="Customer 127"/>
    <x v="3"/>
    <x v="14"/>
    <x v="2"/>
    <x v="8"/>
    <x v="18"/>
    <n v="4821.6000000000004"/>
    <n v="8"/>
    <x v="2"/>
    <x v="117"/>
    <x v="8"/>
    <x v="2"/>
    <x v="1"/>
    <x v="3"/>
    <s v="03"/>
    <n v="0.10113240418118466"/>
    <x v="1"/>
  </r>
  <r>
    <s v="ORD100120"/>
    <s v="2024-05-24"/>
    <s v="Customer 29"/>
    <x v="2"/>
    <x v="8"/>
    <x v="0"/>
    <x v="1"/>
    <x v="1"/>
    <n v="235.08"/>
    <n v="1"/>
    <x v="0"/>
    <x v="118"/>
    <x v="5"/>
    <x v="3"/>
    <x v="1"/>
    <x v="7"/>
    <s v="05"/>
    <n v="0.17428109579717541"/>
    <x v="0"/>
  </r>
  <r>
    <s v="ORD100121"/>
    <s v="2025-01-14"/>
    <s v="Customer 14"/>
    <x v="3"/>
    <x v="13"/>
    <x v="1"/>
    <x v="7"/>
    <x v="17"/>
    <n v="6252.24"/>
    <n v="6"/>
    <x v="1"/>
    <x v="119"/>
    <x v="5"/>
    <x v="1"/>
    <x v="0"/>
    <x v="0"/>
    <s v="01"/>
    <n v="9.7096400650007048E-2"/>
    <x v="1"/>
  </r>
  <r>
    <s v="ORD100122"/>
    <s v="2024-12-10"/>
    <s v="Customer 120"/>
    <x v="3"/>
    <x v="13"/>
    <x v="1"/>
    <x v="3"/>
    <x v="5"/>
    <n v="3046.82"/>
    <n v="7"/>
    <x v="5"/>
    <x v="120"/>
    <x v="7"/>
    <x v="2"/>
    <x v="1"/>
    <x v="4"/>
    <s v="12"/>
    <n v="0.23850440787443955"/>
    <x v="3"/>
  </r>
  <r>
    <s v="ORD100123"/>
    <s v="2024-03-01"/>
    <s v="Customer 117"/>
    <x v="3"/>
    <x v="13"/>
    <x v="0"/>
    <x v="0"/>
    <x v="0"/>
    <n v="7186.88"/>
    <n v="8"/>
    <x v="3"/>
    <x v="121"/>
    <x v="5"/>
    <x v="0"/>
    <x v="1"/>
    <x v="3"/>
    <s v="03"/>
    <n v="3.4549067189100141E-2"/>
    <x v="2"/>
  </r>
  <r>
    <s v="ORD100124"/>
    <s v="2024-07-26"/>
    <s v="Customer 178"/>
    <x v="2"/>
    <x v="3"/>
    <x v="2"/>
    <x v="8"/>
    <x v="18"/>
    <n v="7201.2"/>
    <n v="10"/>
    <x v="3"/>
    <x v="122"/>
    <x v="7"/>
    <x v="2"/>
    <x v="1"/>
    <x v="6"/>
    <s v="07"/>
    <n v="-3.2857023829361773E-2"/>
    <x v="2"/>
  </r>
  <r>
    <s v="ORD100125"/>
    <s v="2024-10-07"/>
    <s v="Customer 64"/>
    <x v="2"/>
    <x v="8"/>
    <x v="0"/>
    <x v="1"/>
    <x v="19"/>
    <n v="3163.8"/>
    <n v="6"/>
    <x v="0"/>
    <x v="123"/>
    <x v="6"/>
    <x v="3"/>
    <x v="1"/>
    <x v="2"/>
    <s v="10"/>
    <n v="0.13528351981794043"/>
    <x v="0"/>
  </r>
  <r>
    <s v="ORD100126"/>
    <s v="2024-04-11"/>
    <s v="Customer 87"/>
    <x v="1"/>
    <x v="1"/>
    <x v="1"/>
    <x v="3"/>
    <x v="4"/>
    <n v="349.36"/>
    <n v="1"/>
    <x v="5"/>
    <x v="124"/>
    <x v="0"/>
    <x v="0"/>
    <x v="1"/>
    <x v="8"/>
    <s v="04"/>
    <n v="0.28211586901763225"/>
    <x v="3"/>
  </r>
  <r>
    <s v="ORD100127"/>
    <s v="2024-09-07"/>
    <s v="Customer 100"/>
    <x v="2"/>
    <x v="8"/>
    <x v="0"/>
    <x v="1"/>
    <x v="19"/>
    <n v="763.62"/>
    <n v="2"/>
    <x v="3"/>
    <x v="125"/>
    <x v="9"/>
    <x v="2"/>
    <x v="1"/>
    <x v="5"/>
    <s v="09"/>
    <n v="0.25959246745763598"/>
    <x v="2"/>
  </r>
  <r>
    <s v="ORD100128"/>
    <s v="2024-08-22"/>
    <s v="Customer 186"/>
    <x v="0"/>
    <x v="7"/>
    <x v="1"/>
    <x v="3"/>
    <x v="5"/>
    <n v="1716.88"/>
    <n v="8"/>
    <x v="5"/>
    <x v="126"/>
    <x v="0"/>
    <x v="1"/>
    <x v="1"/>
    <x v="11"/>
    <s v="08"/>
    <n v="0.1085923302735194"/>
    <x v="3"/>
  </r>
  <r>
    <s v="ORD100129"/>
    <s v="2025-04-05"/>
    <s v="Customer 105"/>
    <x v="0"/>
    <x v="7"/>
    <x v="0"/>
    <x v="0"/>
    <x v="22"/>
    <n v="1169.3900000000001"/>
    <n v="1"/>
    <x v="1"/>
    <x v="127"/>
    <x v="4"/>
    <x v="2"/>
    <x v="0"/>
    <x v="8"/>
    <s v="04"/>
    <n v="8.5531772975653966E-2"/>
    <x v="1"/>
  </r>
  <r>
    <s v="ORD100130"/>
    <s v="2024-06-28"/>
    <s v="Customer 46"/>
    <x v="1"/>
    <x v="1"/>
    <x v="2"/>
    <x v="8"/>
    <x v="12"/>
    <n v="834.76"/>
    <n v="1"/>
    <x v="5"/>
    <x v="128"/>
    <x v="9"/>
    <x v="3"/>
    <x v="1"/>
    <x v="9"/>
    <s v="06"/>
    <n v="-8.3221524749628642E-2"/>
    <x v="3"/>
  </r>
  <r>
    <s v="ORD100131"/>
    <s v="2024-11-15"/>
    <s v="Customer 86"/>
    <x v="2"/>
    <x v="3"/>
    <x v="1"/>
    <x v="3"/>
    <x v="4"/>
    <n v="4253.3"/>
    <n v="5"/>
    <x v="1"/>
    <x v="129"/>
    <x v="1"/>
    <x v="2"/>
    <x v="1"/>
    <x v="10"/>
    <s v="11"/>
    <n v="-0.10965368067147861"/>
    <x v="1"/>
  </r>
  <r>
    <s v="ORD100132"/>
    <s v="2025-05-06"/>
    <s v="Customer 73"/>
    <x v="1"/>
    <x v="5"/>
    <x v="0"/>
    <x v="1"/>
    <x v="1"/>
    <n v="3478.58"/>
    <n v="7"/>
    <x v="2"/>
    <x v="130"/>
    <x v="6"/>
    <x v="2"/>
    <x v="0"/>
    <x v="7"/>
    <s v="05"/>
    <n v="-0.12395862679599147"/>
    <x v="1"/>
  </r>
  <r>
    <s v="ORD100133"/>
    <s v="2025-07-17"/>
    <s v="Customer 79"/>
    <x v="2"/>
    <x v="3"/>
    <x v="0"/>
    <x v="0"/>
    <x v="25"/>
    <n v="9469.7999999999993"/>
    <n v="9"/>
    <x v="3"/>
    <x v="131"/>
    <x v="5"/>
    <x v="3"/>
    <x v="0"/>
    <x v="6"/>
    <s v="07"/>
    <n v="0.2676202242919597"/>
    <x v="2"/>
  </r>
  <r>
    <s v="ORD100134"/>
    <s v="2025-12-06"/>
    <s v="Customer 47"/>
    <x v="2"/>
    <x v="10"/>
    <x v="2"/>
    <x v="6"/>
    <x v="23"/>
    <n v="4185.93"/>
    <n v="7"/>
    <x v="3"/>
    <x v="132"/>
    <x v="5"/>
    <x v="1"/>
    <x v="0"/>
    <x v="4"/>
    <s v="12"/>
    <n v="4.3280704646279318E-2"/>
    <x v="2"/>
  </r>
  <r>
    <s v="ORD100135"/>
    <s v="2024-03-08"/>
    <s v="Customer 121"/>
    <x v="1"/>
    <x v="1"/>
    <x v="0"/>
    <x v="1"/>
    <x v="3"/>
    <n v="4187.82"/>
    <n v="7"/>
    <x v="4"/>
    <x v="133"/>
    <x v="2"/>
    <x v="1"/>
    <x v="1"/>
    <x v="3"/>
    <s v="03"/>
    <n v="3.721745442736317E-2"/>
    <x v="3"/>
  </r>
  <r>
    <s v="ORD100136"/>
    <s v="2025-01-24"/>
    <s v="Customer 196"/>
    <x v="3"/>
    <x v="15"/>
    <x v="1"/>
    <x v="3"/>
    <x v="4"/>
    <n v="7119.06"/>
    <n v="6"/>
    <x v="5"/>
    <x v="134"/>
    <x v="5"/>
    <x v="2"/>
    <x v="0"/>
    <x v="0"/>
    <s v="01"/>
    <n v="-4.1845412175202899E-2"/>
    <x v="3"/>
  </r>
  <r>
    <s v="ORD100137"/>
    <s v="2025-09-27"/>
    <s v="Customer 50"/>
    <x v="0"/>
    <x v="9"/>
    <x v="0"/>
    <x v="1"/>
    <x v="3"/>
    <n v="3328.2"/>
    <n v="4"/>
    <x v="0"/>
    <x v="135"/>
    <x v="4"/>
    <x v="1"/>
    <x v="0"/>
    <x v="5"/>
    <s v="09"/>
    <n v="0.1766901027582477"/>
    <x v="0"/>
  </r>
  <r>
    <s v="ORD100138"/>
    <s v="2025-05-06"/>
    <s v="Customer 101"/>
    <x v="1"/>
    <x v="5"/>
    <x v="0"/>
    <x v="1"/>
    <x v="3"/>
    <n v="627.6"/>
    <n v="10"/>
    <x v="5"/>
    <x v="136"/>
    <x v="7"/>
    <x v="1"/>
    <x v="0"/>
    <x v="7"/>
    <s v="05"/>
    <n v="-4.3148502230720198E-2"/>
    <x v="3"/>
  </r>
  <r>
    <s v="ORD100139"/>
    <s v="2025-06-21"/>
    <s v="Customer 188"/>
    <x v="3"/>
    <x v="13"/>
    <x v="0"/>
    <x v="0"/>
    <x v="0"/>
    <n v="609.55999999999995"/>
    <n v="1"/>
    <x v="4"/>
    <x v="137"/>
    <x v="0"/>
    <x v="2"/>
    <x v="0"/>
    <x v="9"/>
    <s v="06"/>
    <n v="7.0723144563291554E-2"/>
    <x v="3"/>
  </r>
  <r>
    <s v="ORD100140"/>
    <s v="2025-04-26"/>
    <s v="Customer 156"/>
    <x v="1"/>
    <x v="2"/>
    <x v="2"/>
    <x v="8"/>
    <x v="20"/>
    <n v="4031.91"/>
    <n v="9"/>
    <x v="3"/>
    <x v="138"/>
    <x v="3"/>
    <x v="3"/>
    <x v="0"/>
    <x v="8"/>
    <s v="04"/>
    <n v="0.13088585806726838"/>
    <x v="2"/>
  </r>
  <r>
    <s v="ORD100141"/>
    <s v="2025-10-19"/>
    <s v="Customer 77"/>
    <x v="2"/>
    <x v="10"/>
    <x v="1"/>
    <x v="3"/>
    <x v="14"/>
    <n v="1161.08"/>
    <n v="2"/>
    <x v="3"/>
    <x v="139"/>
    <x v="5"/>
    <x v="1"/>
    <x v="0"/>
    <x v="2"/>
    <s v="10"/>
    <n v="5.4070348296413689E-2"/>
    <x v="2"/>
  </r>
  <r>
    <s v="ORD100142"/>
    <s v="2024-12-26"/>
    <s v="Customer 160"/>
    <x v="1"/>
    <x v="2"/>
    <x v="1"/>
    <x v="5"/>
    <x v="7"/>
    <n v="1835.2"/>
    <n v="4"/>
    <x v="0"/>
    <x v="140"/>
    <x v="6"/>
    <x v="1"/>
    <x v="1"/>
    <x v="4"/>
    <s v="12"/>
    <n v="0.33731473408892759"/>
    <x v="0"/>
  </r>
  <r>
    <s v="ORD100143"/>
    <s v="2024-04-27"/>
    <s v="Customer 4"/>
    <x v="3"/>
    <x v="15"/>
    <x v="1"/>
    <x v="3"/>
    <x v="5"/>
    <n v="1715.06"/>
    <n v="2"/>
    <x v="3"/>
    <x v="141"/>
    <x v="4"/>
    <x v="2"/>
    <x v="1"/>
    <x v="8"/>
    <s v="04"/>
    <n v="-4.6977948293354166E-2"/>
    <x v="2"/>
  </r>
  <r>
    <s v="ORD100144"/>
    <s v="2025-09-07"/>
    <s v="Customer 50"/>
    <x v="3"/>
    <x v="12"/>
    <x v="1"/>
    <x v="3"/>
    <x v="14"/>
    <n v="1575.3"/>
    <n v="5"/>
    <x v="4"/>
    <x v="142"/>
    <x v="2"/>
    <x v="3"/>
    <x v="0"/>
    <x v="5"/>
    <s v="09"/>
    <n v="-5.2123405065701775E-2"/>
    <x v="3"/>
  </r>
  <r>
    <s v="ORD100145"/>
    <s v="2024-12-25"/>
    <s v="Customer 189"/>
    <x v="0"/>
    <x v="0"/>
    <x v="1"/>
    <x v="7"/>
    <x v="17"/>
    <n v="3372.48"/>
    <n v="8"/>
    <x v="3"/>
    <x v="143"/>
    <x v="0"/>
    <x v="1"/>
    <x v="1"/>
    <x v="4"/>
    <s v="12"/>
    <n v="0.34706210266628712"/>
    <x v="2"/>
  </r>
  <r>
    <s v="ORD100146"/>
    <s v="2024-07-23"/>
    <s v="Customer 139"/>
    <x v="0"/>
    <x v="4"/>
    <x v="1"/>
    <x v="3"/>
    <x v="14"/>
    <n v="333.53"/>
    <n v="1"/>
    <x v="0"/>
    <x v="144"/>
    <x v="0"/>
    <x v="0"/>
    <x v="1"/>
    <x v="6"/>
    <s v="07"/>
    <n v="9.7382544298863671E-2"/>
    <x v="0"/>
  </r>
  <r>
    <s v="ORD100147"/>
    <s v="2025-08-07"/>
    <s v="Customer 85"/>
    <x v="3"/>
    <x v="12"/>
    <x v="2"/>
    <x v="8"/>
    <x v="20"/>
    <n v="1596.92"/>
    <n v="4"/>
    <x v="0"/>
    <x v="145"/>
    <x v="0"/>
    <x v="2"/>
    <x v="0"/>
    <x v="11"/>
    <s v="08"/>
    <n v="0.43975277409012348"/>
    <x v="0"/>
  </r>
  <r>
    <s v="ORD100148"/>
    <s v="2024-02-07"/>
    <s v="Customer 3"/>
    <x v="3"/>
    <x v="14"/>
    <x v="2"/>
    <x v="4"/>
    <x v="26"/>
    <n v="2489.64"/>
    <n v="4"/>
    <x v="4"/>
    <x v="146"/>
    <x v="2"/>
    <x v="1"/>
    <x v="1"/>
    <x v="1"/>
    <s v="02"/>
    <n v="-3.274770649571826E-2"/>
    <x v="3"/>
  </r>
  <r>
    <s v="ORD100149"/>
    <s v="2024-12-29"/>
    <s v="Customer 105"/>
    <x v="1"/>
    <x v="11"/>
    <x v="2"/>
    <x v="4"/>
    <x v="10"/>
    <n v="2902.6"/>
    <n v="5"/>
    <x v="4"/>
    <x v="147"/>
    <x v="7"/>
    <x v="2"/>
    <x v="1"/>
    <x v="4"/>
    <s v="12"/>
    <n v="8.9833252945634948E-2"/>
    <x v="3"/>
  </r>
  <r>
    <s v="ORD100150"/>
    <s v="2024-02-03"/>
    <s v="Customer 163"/>
    <x v="1"/>
    <x v="5"/>
    <x v="2"/>
    <x v="6"/>
    <x v="8"/>
    <n v="3480.18"/>
    <n v="6"/>
    <x v="2"/>
    <x v="148"/>
    <x v="7"/>
    <x v="3"/>
    <x v="1"/>
    <x v="1"/>
    <s v="02"/>
    <n v="-7.3096793843996574E-2"/>
    <x v="1"/>
  </r>
  <r>
    <s v="ORD100151"/>
    <s v="2024-08-07"/>
    <s v="Customer 199"/>
    <x v="3"/>
    <x v="14"/>
    <x v="2"/>
    <x v="8"/>
    <x v="18"/>
    <n v="156"/>
    <n v="10"/>
    <x v="2"/>
    <x v="149"/>
    <x v="4"/>
    <x v="2"/>
    <x v="1"/>
    <x v="11"/>
    <s v="08"/>
    <n v="6.9743589743589754E-2"/>
    <x v="1"/>
  </r>
  <r>
    <s v="ORD100152"/>
    <s v="2024-03-03"/>
    <s v="Customer 117"/>
    <x v="3"/>
    <x v="14"/>
    <x v="2"/>
    <x v="6"/>
    <x v="23"/>
    <n v="1035.04"/>
    <n v="8"/>
    <x v="4"/>
    <x v="150"/>
    <x v="1"/>
    <x v="0"/>
    <x v="1"/>
    <x v="3"/>
    <s v="03"/>
    <n v="8.3301128458803525E-2"/>
    <x v="3"/>
  </r>
  <r>
    <s v="ORD100153"/>
    <s v="2025-09-20"/>
    <s v="Customer 179"/>
    <x v="3"/>
    <x v="14"/>
    <x v="2"/>
    <x v="6"/>
    <x v="8"/>
    <n v="9928.35"/>
    <n v="9"/>
    <x v="0"/>
    <x v="151"/>
    <x v="6"/>
    <x v="3"/>
    <x v="0"/>
    <x v="5"/>
    <s v="09"/>
    <n v="0.39611415794165195"/>
    <x v="0"/>
  </r>
  <r>
    <s v="ORD100154"/>
    <s v="2025-06-16"/>
    <s v="Customer 194"/>
    <x v="0"/>
    <x v="0"/>
    <x v="1"/>
    <x v="7"/>
    <x v="9"/>
    <n v="1606.99"/>
    <n v="7"/>
    <x v="0"/>
    <x v="152"/>
    <x v="4"/>
    <x v="2"/>
    <x v="0"/>
    <x v="9"/>
    <s v="06"/>
    <n v="0.43148992837540989"/>
    <x v="0"/>
  </r>
  <r>
    <s v="ORD100155"/>
    <s v="2025-08-07"/>
    <s v="Customer 72"/>
    <x v="0"/>
    <x v="9"/>
    <x v="0"/>
    <x v="1"/>
    <x v="19"/>
    <n v="887.48"/>
    <n v="2"/>
    <x v="6"/>
    <x v="153"/>
    <x v="8"/>
    <x v="3"/>
    <x v="0"/>
    <x v="11"/>
    <s v="08"/>
    <n v="0.24731824942533917"/>
    <x v="2"/>
  </r>
  <r>
    <s v="ORD100156"/>
    <s v="2024-03-04"/>
    <s v="Customer 90"/>
    <x v="1"/>
    <x v="1"/>
    <x v="2"/>
    <x v="6"/>
    <x v="13"/>
    <n v="11943.3"/>
    <n v="10"/>
    <x v="5"/>
    <x v="154"/>
    <x v="8"/>
    <x v="1"/>
    <x v="1"/>
    <x v="3"/>
    <s v="03"/>
    <n v="0.2596736245426306"/>
    <x v="3"/>
  </r>
  <r>
    <s v="ORD100157"/>
    <s v="2025-05-19"/>
    <s v="Customer 95"/>
    <x v="3"/>
    <x v="15"/>
    <x v="0"/>
    <x v="0"/>
    <x v="22"/>
    <n v="2836.64"/>
    <n v="4"/>
    <x v="5"/>
    <x v="155"/>
    <x v="5"/>
    <x v="2"/>
    <x v="0"/>
    <x v="7"/>
    <s v="05"/>
    <n v="0.23253920130859046"/>
    <x v="3"/>
  </r>
  <r>
    <s v="ORD100158"/>
    <s v="2024-11-29"/>
    <s v="Customer 49"/>
    <x v="1"/>
    <x v="5"/>
    <x v="0"/>
    <x v="2"/>
    <x v="2"/>
    <n v="2362.5"/>
    <n v="2"/>
    <x v="1"/>
    <x v="156"/>
    <x v="5"/>
    <x v="3"/>
    <x v="1"/>
    <x v="10"/>
    <s v="11"/>
    <n v="0.19176719576719578"/>
    <x v="1"/>
  </r>
  <r>
    <s v="ORD100159"/>
    <s v="2025-12-17"/>
    <s v="Customer 193"/>
    <x v="1"/>
    <x v="2"/>
    <x v="2"/>
    <x v="4"/>
    <x v="10"/>
    <n v="6022.66"/>
    <n v="7"/>
    <x v="0"/>
    <x v="157"/>
    <x v="2"/>
    <x v="0"/>
    <x v="0"/>
    <x v="4"/>
    <s v="12"/>
    <n v="0.31772339796701127"/>
    <x v="0"/>
  </r>
  <r>
    <s v="ORD100160"/>
    <s v="2024-04-13"/>
    <s v="Customer 55"/>
    <x v="1"/>
    <x v="2"/>
    <x v="1"/>
    <x v="5"/>
    <x v="15"/>
    <n v="47.06"/>
    <n v="1"/>
    <x v="3"/>
    <x v="158"/>
    <x v="8"/>
    <x v="0"/>
    <x v="1"/>
    <x v="8"/>
    <s v="04"/>
    <n v="0.18189545261368467"/>
    <x v="2"/>
  </r>
  <r>
    <s v="ORD100161"/>
    <s v="2025-01-07"/>
    <s v="Customer 96"/>
    <x v="1"/>
    <x v="2"/>
    <x v="0"/>
    <x v="1"/>
    <x v="19"/>
    <n v="1635.8"/>
    <n v="4"/>
    <x v="6"/>
    <x v="159"/>
    <x v="0"/>
    <x v="1"/>
    <x v="0"/>
    <x v="0"/>
    <s v="01"/>
    <n v="6.4696173126299064E-2"/>
    <x v="2"/>
  </r>
  <r>
    <s v="ORD100162"/>
    <s v="2024-03-05"/>
    <s v="Customer 79"/>
    <x v="2"/>
    <x v="8"/>
    <x v="2"/>
    <x v="6"/>
    <x v="13"/>
    <n v="7148.61"/>
    <n v="9"/>
    <x v="3"/>
    <x v="160"/>
    <x v="7"/>
    <x v="3"/>
    <x v="1"/>
    <x v="3"/>
    <s v="03"/>
    <n v="0.17874803633153857"/>
    <x v="2"/>
  </r>
  <r>
    <s v="ORD100163"/>
    <s v="2025-01-08"/>
    <s v="Customer 79"/>
    <x v="3"/>
    <x v="13"/>
    <x v="0"/>
    <x v="2"/>
    <x v="21"/>
    <n v="3459.3"/>
    <n v="10"/>
    <x v="5"/>
    <x v="161"/>
    <x v="9"/>
    <x v="0"/>
    <x v="0"/>
    <x v="0"/>
    <s v="01"/>
    <n v="-4.8804671465325355E-2"/>
    <x v="3"/>
  </r>
  <r>
    <s v="ORD100164"/>
    <s v="2025-06-22"/>
    <s v="Customer 47"/>
    <x v="3"/>
    <x v="13"/>
    <x v="0"/>
    <x v="2"/>
    <x v="2"/>
    <n v="1569.72"/>
    <n v="3"/>
    <x v="6"/>
    <x v="162"/>
    <x v="5"/>
    <x v="3"/>
    <x v="0"/>
    <x v="9"/>
    <s v="06"/>
    <n v="0.34690263231659146"/>
    <x v="2"/>
  </r>
  <r>
    <s v="ORD100165"/>
    <s v="2024-01-02"/>
    <s v="Customer 161"/>
    <x v="3"/>
    <x v="15"/>
    <x v="0"/>
    <x v="2"/>
    <x v="11"/>
    <n v="2354.88"/>
    <n v="4"/>
    <x v="6"/>
    <x v="163"/>
    <x v="3"/>
    <x v="3"/>
    <x v="1"/>
    <x v="0"/>
    <s v="01"/>
    <n v="1.2132253023508628E-2"/>
    <x v="2"/>
  </r>
  <r>
    <s v="ORD100166"/>
    <s v="2024-07-08"/>
    <s v="Customer 95"/>
    <x v="0"/>
    <x v="7"/>
    <x v="2"/>
    <x v="6"/>
    <x v="8"/>
    <n v="6649.74"/>
    <n v="6"/>
    <x v="0"/>
    <x v="164"/>
    <x v="6"/>
    <x v="0"/>
    <x v="1"/>
    <x v="6"/>
    <s v="07"/>
    <n v="0.23813412253712177"/>
    <x v="0"/>
  </r>
  <r>
    <s v="ORD100167"/>
    <s v="2025-06-28"/>
    <s v="Customer 81"/>
    <x v="2"/>
    <x v="10"/>
    <x v="1"/>
    <x v="5"/>
    <x v="7"/>
    <n v="5817.04"/>
    <n v="8"/>
    <x v="2"/>
    <x v="165"/>
    <x v="0"/>
    <x v="0"/>
    <x v="0"/>
    <x v="9"/>
    <s v="06"/>
    <n v="-5.9311952470672363E-2"/>
    <x v="1"/>
  </r>
  <r>
    <s v="ORD100168"/>
    <s v="2025-01-28"/>
    <s v="Customer 58"/>
    <x v="3"/>
    <x v="14"/>
    <x v="2"/>
    <x v="6"/>
    <x v="13"/>
    <n v="3937.05"/>
    <n v="9"/>
    <x v="5"/>
    <x v="166"/>
    <x v="1"/>
    <x v="1"/>
    <x v="0"/>
    <x v="0"/>
    <s v="01"/>
    <n v="0.17135164653738205"/>
    <x v="3"/>
  </r>
  <r>
    <s v="ORD100169"/>
    <s v="2024-03-07"/>
    <s v="Customer 200"/>
    <x v="0"/>
    <x v="0"/>
    <x v="2"/>
    <x v="4"/>
    <x v="10"/>
    <n v="1089.8599999999999"/>
    <n v="1"/>
    <x v="3"/>
    <x v="167"/>
    <x v="1"/>
    <x v="1"/>
    <x v="1"/>
    <x v="3"/>
    <s v="03"/>
    <n v="0.21717468298680567"/>
    <x v="2"/>
  </r>
  <r>
    <s v="ORD100170"/>
    <s v="2025-08-12"/>
    <s v="Customer 24"/>
    <x v="0"/>
    <x v="0"/>
    <x v="0"/>
    <x v="2"/>
    <x v="2"/>
    <n v="1886.8"/>
    <n v="5"/>
    <x v="0"/>
    <x v="168"/>
    <x v="3"/>
    <x v="3"/>
    <x v="0"/>
    <x v="11"/>
    <s v="08"/>
    <n v="0.32563599745601018"/>
    <x v="0"/>
  </r>
  <r>
    <s v="ORD100171"/>
    <s v="2024-10-27"/>
    <s v="Customer 11"/>
    <x v="0"/>
    <x v="7"/>
    <x v="1"/>
    <x v="5"/>
    <x v="7"/>
    <n v="1496.16"/>
    <n v="8"/>
    <x v="4"/>
    <x v="169"/>
    <x v="3"/>
    <x v="1"/>
    <x v="1"/>
    <x v="2"/>
    <s v="10"/>
    <n v="3.1754625173778202E-2"/>
    <x v="3"/>
  </r>
  <r>
    <s v="ORD100172"/>
    <s v="2025-05-02"/>
    <s v="Customer 43"/>
    <x v="1"/>
    <x v="1"/>
    <x v="1"/>
    <x v="7"/>
    <x v="17"/>
    <n v="1068.7"/>
    <n v="2"/>
    <x v="2"/>
    <x v="170"/>
    <x v="2"/>
    <x v="1"/>
    <x v="0"/>
    <x v="7"/>
    <s v="05"/>
    <n v="-0.13235706933657712"/>
    <x v="1"/>
  </r>
  <r>
    <s v="ORD100173"/>
    <s v="2024-06-05"/>
    <s v="Customer 162"/>
    <x v="1"/>
    <x v="1"/>
    <x v="1"/>
    <x v="3"/>
    <x v="14"/>
    <n v="9736.4699999999993"/>
    <n v="9"/>
    <x v="3"/>
    <x v="171"/>
    <x v="8"/>
    <x v="3"/>
    <x v="1"/>
    <x v="9"/>
    <s v="06"/>
    <n v="0.34737024814948336"/>
    <x v="2"/>
  </r>
  <r>
    <s v="ORD100174"/>
    <s v="2025-07-24"/>
    <s v="Customer 174"/>
    <x v="1"/>
    <x v="1"/>
    <x v="2"/>
    <x v="4"/>
    <x v="10"/>
    <n v="3686.67"/>
    <n v="9"/>
    <x v="4"/>
    <x v="172"/>
    <x v="6"/>
    <x v="1"/>
    <x v="0"/>
    <x v="6"/>
    <s v="07"/>
    <n v="0.10481003181733108"/>
    <x v="3"/>
  </r>
  <r>
    <s v="ORD100175"/>
    <s v="2024-11-17"/>
    <s v="Customer 9"/>
    <x v="0"/>
    <x v="7"/>
    <x v="1"/>
    <x v="7"/>
    <x v="9"/>
    <n v="5429.7"/>
    <n v="5"/>
    <x v="0"/>
    <x v="173"/>
    <x v="2"/>
    <x v="0"/>
    <x v="1"/>
    <x v="10"/>
    <s v="11"/>
    <n v="0.43022082251321436"/>
    <x v="0"/>
  </r>
  <r>
    <s v="ORD100176"/>
    <s v="2024-12-05"/>
    <s v="Customer 186"/>
    <x v="1"/>
    <x v="5"/>
    <x v="2"/>
    <x v="8"/>
    <x v="12"/>
    <n v="2408.6"/>
    <n v="4"/>
    <x v="5"/>
    <x v="174"/>
    <x v="4"/>
    <x v="2"/>
    <x v="1"/>
    <x v="4"/>
    <s v="12"/>
    <n v="-7.3449306651166654E-2"/>
    <x v="3"/>
  </r>
  <r>
    <s v="ORD100177"/>
    <s v="2025-02-12"/>
    <s v="Customer 134"/>
    <x v="0"/>
    <x v="4"/>
    <x v="0"/>
    <x v="2"/>
    <x v="2"/>
    <n v="3156.6"/>
    <n v="6"/>
    <x v="2"/>
    <x v="175"/>
    <x v="7"/>
    <x v="2"/>
    <x v="0"/>
    <x v="1"/>
    <s v="02"/>
    <n v="-7.9363872521066983E-2"/>
    <x v="1"/>
  </r>
  <r>
    <s v="ORD100178"/>
    <s v="2024-06-20"/>
    <s v="Customer 91"/>
    <x v="2"/>
    <x v="10"/>
    <x v="2"/>
    <x v="6"/>
    <x v="8"/>
    <n v="2552.9699999999998"/>
    <n v="7"/>
    <x v="1"/>
    <x v="176"/>
    <x v="9"/>
    <x v="2"/>
    <x v="1"/>
    <x v="9"/>
    <s v="06"/>
    <n v="-6.4881295119018245E-2"/>
    <x v="1"/>
  </r>
  <r>
    <s v="ORD100179"/>
    <s v="2025-04-16"/>
    <s v="Customer 127"/>
    <x v="0"/>
    <x v="9"/>
    <x v="1"/>
    <x v="5"/>
    <x v="15"/>
    <n v="3325.12"/>
    <n v="8"/>
    <x v="2"/>
    <x v="177"/>
    <x v="9"/>
    <x v="1"/>
    <x v="0"/>
    <x v="8"/>
    <s v="04"/>
    <n v="-6.3038326436339151E-2"/>
    <x v="1"/>
  </r>
  <r>
    <s v="ORD100180"/>
    <s v="2024-12-02"/>
    <s v="Customer 113"/>
    <x v="0"/>
    <x v="7"/>
    <x v="1"/>
    <x v="3"/>
    <x v="5"/>
    <n v="4594.38"/>
    <n v="6"/>
    <x v="0"/>
    <x v="178"/>
    <x v="5"/>
    <x v="1"/>
    <x v="1"/>
    <x v="4"/>
    <s v="12"/>
    <n v="0.20222532746529456"/>
    <x v="0"/>
  </r>
  <r>
    <s v="ORD100181"/>
    <s v="2024-06-15"/>
    <s v="Customer 180"/>
    <x v="0"/>
    <x v="7"/>
    <x v="0"/>
    <x v="0"/>
    <x v="25"/>
    <n v="5388.95"/>
    <n v="5"/>
    <x v="1"/>
    <x v="179"/>
    <x v="6"/>
    <x v="0"/>
    <x v="1"/>
    <x v="9"/>
    <s v="06"/>
    <n v="-0.11516900323810761"/>
    <x v="1"/>
  </r>
  <r>
    <s v="ORD100182"/>
    <s v="2024-04-25"/>
    <s v="Customer 14"/>
    <x v="3"/>
    <x v="12"/>
    <x v="2"/>
    <x v="8"/>
    <x v="12"/>
    <n v="6670.44"/>
    <n v="9"/>
    <x v="5"/>
    <x v="180"/>
    <x v="0"/>
    <x v="3"/>
    <x v="1"/>
    <x v="8"/>
    <s v="04"/>
    <n v="0.15338718285450437"/>
    <x v="3"/>
  </r>
  <r>
    <s v="ORD100183"/>
    <s v="2025-03-18"/>
    <s v="Customer 119"/>
    <x v="1"/>
    <x v="11"/>
    <x v="2"/>
    <x v="6"/>
    <x v="13"/>
    <n v="1529.28"/>
    <n v="9"/>
    <x v="1"/>
    <x v="181"/>
    <x v="6"/>
    <x v="3"/>
    <x v="0"/>
    <x v="3"/>
    <s v="03"/>
    <n v="1.8217723373090605E-2"/>
    <x v="1"/>
  </r>
  <r>
    <s v="ORD100184"/>
    <s v="2025-03-21"/>
    <s v="Customer 178"/>
    <x v="3"/>
    <x v="15"/>
    <x v="1"/>
    <x v="3"/>
    <x v="4"/>
    <n v="8058.4"/>
    <n v="8"/>
    <x v="6"/>
    <x v="182"/>
    <x v="7"/>
    <x v="2"/>
    <x v="0"/>
    <x v="3"/>
    <s v="03"/>
    <n v="0.17627196465799663"/>
    <x v="2"/>
  </r>
  <r>
    <s v="ORD100185"/>
    <s v="2025-04-15"/>
    <s v="Customer 11"/>
    <x v="1"/>
    <x v="1"/>
    <x v="0"/>
    <x v="1"/>
    <x v="3"/>
    <n v="7951.6"/>
    <n v="8"/>
    <x v="2"/>
    <x v="183"/>
    <x v="2"/>
    <x v="0"/>
    <x v="0"/>
    <x v="8"/>
    <s v="04"/>
    <n v="6.6824286935962568E-2"/>
    <x v="1"/>
  </r>
  <r>
    <s v="ORD100186"/>
    <s v="2024-02-17"/>
    <s v="Customer 108"/>
    <x v="2"/>
    <x v="6"/>
    <x v="1"/>
    <x v="7"/>
    <x v="17"/>
    <n v="6223"/>
    <n v="7"/>
    <x v="1"/>
    <x v="184"/>
    <x v="2"/>
    <x v="0"/>
    <x v="1"/>
    <x v="1"/>
    <s v="02"/>
    <n v="1.8103808452514865E-2"/>
    <x v="1"/>
  </r>
  <r>
    <s v="ORD100187"/>
    <s v="2025-03-27"/>
    <s v="Customer 167"/>
    <x v="3"/>
    <x v="14"/>
    <x v="1"/>
    <x v="3"/>
    <x v="4"/>
    <n v="9335.34"/>
    <n v="9"/>
    <x v="2"/>
    <x v="185"/>
    <x v="0"/>
    <x v="2"/>
    <x v="0"/>
    <x v="3"/>
    <s v="03"/>
    <n v="-0.12009525094961727"/>
    <x v="1"/>
  </r>
  <r>
    <s v="ORD100188"/>
    <s v="2025-01-15"/>
    <s v="Customer 150"/>
    <x v="3"/>
    <x v="12"/>
    <x v="1"/>
    <x v="3"/>
    <x v="14"/>
    <n v="7320.95"/>
    <n v="7"/>
    <x v="1"/>
    <x v="186"/>
    <x v="5"/>
    <x v="2"/>
    <x v="0"/>
    <x v="0"/>
    <s v="01"/>
    <n v="-0.16502776279034825"/>
    <x v="1"/>
  </r>
  <r>
    <s v="ORD100189"/>
    <s v="2025-12-19"/>
    <s v="Customer 121"/>
    <x v="1"/>
    <x v="11"/>
    <x v="2"/>
    <x v="8"/>
    <x v="20"/>
    <n v="1060.55"/>
    <n v="5"/>
    <x v="4"/>
    <x v="187"/>
    <x v="6"/>
    <x v="3"/>
    <x v="0"/>
    <x v="4"/>
    <s v="12"/>
    <n v="-7.630946207156665E-2"/>
    <x v="3"/>
  </r>
  <r>
    <s v="ORD100190"/>
    <s v="2025-03-09"/>
    <s v="Customer 158"/>
    <x v="2"/>
    <x v="6"/>
    <x v="1"/>
    <x v="3"/>
    <x v="14"/>
    <n v="2568.7199999999998"/>
    <n v="8"/>
    <x v="6"/>
    <x v="188"/>
    <x v="0"/>
    <x v="1"/>
    <x v="0"/>
    <x v="3"/>
    <s v="03"/>
    <n v="0.2600789498271513"/>
    <x v="2"/>
  </r>
  <r>
    <s v="ORD100191"/>
    <s v="2024-01-13"/>
    <s v="Customer 191"/>
    <x v="0"/>
    <x v="7"/>
    <x v="1"/>
    <x v="5"/>
    <x v="7"/>
    <n v="5028.7"/>
    <n v="10"/>
    <x v="2"/>
    <x v="189"/>
    <x v="7"/>
    <x v="2"/>
    <x v="1"/>
    <x v="0"/>
    <s v="01"/>
    <n v="0.13294091912422693"/>
    <x v="1"/>
  </r>
  <r>
    <s v="ORD100192"/>
    <s v="2024-01-14"/>
    <s v="Customer 125"/>
    <x v="2"/>
    <x v="10"/>
    <x v="0"/>
    <x v="0"/>
    <x v="25"/>
    <n v="7182"/>
    <n v="7"/>
    <x v="3"/>
    <x v="190"/>
    <x v="3"/>
    <x v="1"/>
    <x v="1"/>
    <x v="0"/>
    <s v="01"/>
    <n v="0.2255402394876079"/>
    <x v="2"/>
  </r>
  <r>
    <s v="ORD100193"/>
    <s v="2024-10-10"/>
    <s v="Customer 121"/>
    <x v="3"/>
    <x v="12"/>
    <x v="0"/>
    <x v="0"/>
    <x v="0"/>
    <n v="4739.8999999999996"/>
    <n v="10"/>
    <x v="6"/>
    <x v="191"/>
    <x v="7"/>
    <x v="3"/>
    <x v="1"/>
    <x v="2"/>
    <s v="10"/>
    <n v="8.5649486276081779E-2"/>
    <x v="2"/>
  </r>
  <r>
    <s v="ORD100194"/>
    <s v="2025-02-25"/>
    <s v="Customer 4"/>
    <x v="2"/>
    <x v="10"/>
    <x v="1"/>
    <x v="7"/>
    <x v="9"/>
    <n v="2480.6999999999998"/>
    <n v="10"/>
    <x v="0"/>
    <x v="192"/>
    <x v="9"/>
    <x v="2"/>
    <x v="0"/>
    <x v="1"/>
    <s v="02"/>
    <n v="0.31152094166969002"/>
    <x v="0"/>
  </r>
  <r>
    <s v="ORD100195"/>
    <s v="2025-12-26"/>
    <s v="Customer 52"/>
    <x v="3"/>
    <x v="15"/>
    <x v="1"/>
    <x v="7"/>
    <x v="17"/>
    <n v="9379.7000000000007"/>
    <n v="10"/>
    <x v="6"/>
    <x v="193"/>
    <x v="6"/>
    <x v="3"/>
    <x v="0"/>
    <x v="4"/>
    <s v="12"/>
    <n v="0.13905455398360286"/>
    <x v="2"/>
  </r>
  <r>
    <s v="ORD100196"/>
    <s v="2025-09-28"/>
    <s v="Customer 149"/>
    <x v="2"/>
    <x v="3"/>
    <x v="0"/>
    <x v="2"/>
    <x v="2"/>
    <n v="1119.22"/>
    <n v="2"/>
    <x v="6"/>
    <x v="194"/>
    <x v="9"/>
    <x v="1"/>
    <x v="0"/>
    <x v="5"/>
    <s v="09"/>
    <n v="4.1922052858240563E-2"/>
    <x v="2"/>
  </r>
  <r>
    <s v="ORD100197"/>
    <s v="2025-06-17"/>
    <s v="Customer 183"/>
    <x v="2"/>
    <x v="10"/>
    <x v="2"/>
    <x v="8"/>
    <x v="18"/>
    <n v="1180.08"/>
    <n v="3"/>
    <x v="5"/>
    <x v="195"/>
    <x v="3"/>
    <x v="0"/>
    <x v="0"/>
    <x v="9"/>
    <s v="06"/>
    <n v="-8.2968951257541862E-2"/>
    <x v="3"/>
  </r>
  <r>
    <s v="ORD100198"/>
    <s v="2024-10-20"/>
    <s v="Customer 171"/>
    <x v="2"/>
    <x v="3"/>
    <x v="0"/>
    <x v="1"/>
    <x v="19"/>
    <n v="4608.08"/>
    <n v="4"/>
    <x v="2"/>
    <x v="196"/>
    <x v="6"/>
    <x v="3"/>
    <x v="1"/>
    <x v="2"/>
    <s v="10"/>
    <n v="-0.22191455009461641"/>
    <x v="1"/>
  </r>
  <r>
    <s v="ORD100199"/>
    <s v="2024-07-14"/>
    <s v="Customer 69"/>
    <x v="1"/>
    <x v="2"/>
    <x v="0"/>
    <x v="1"/>
    <x v="1"/>
    <n v="778.4"/>
    <n v="5"/>
    <x v="5"/>
    <x v="197"/>
    <x v="8"/>
    <x v="2"/>
    <x v="1"/>
    <x v="6"/>
    <s v="07"/>
    <n v="0.10714285714285715"/>
    <x v="3"/>
  </r>
  <r>
    <s v="ORD100200"/>
    <s v="2024-08-31"/>
    <s v="Customer 151"/>
    <x v="1"/>
    <x v="11"/>
    <x v="2"/>
    <x v="6"/>
    <x v="23"/>
    <n v="1090.32"/>
    <n v="2"/>
    <x v="1"/>
    <x v="198"/>
    <x v="8"/>
    <x v="2"/>
    <x v="1"/>
    <x v="11"/>
    <s v="08"/>
    <n v="-0.1941356665932937"/>
    <x v="1"/>
  </r>
  <r>
    <s v="ORD100201"/>
    <s v="2024-02-24"/>
    <s v="Customer 29"/>
    <x v="0"/>
    <x v="9"/>
    <x v="0"/>
    <x v="2"/>
    <x v="11"/>
    <n v="5014.26"/>
    <n v="6"/>
    <x v="3"/>
    <x v="199"/>
    <x v="4"/>
    <x v="1"/>
    <x v="1"/>
    <x v="1"/>
    <s v="02"/>
    <n v="7.2385556393166683E-2"/>
    <x v="2"/>
  </r>
  <r>
    <s v="ORD100202"/>
    <s v="2024-11-21"/>
    <s v="Customer 127"/>
    <x v="3"/>
    <x v="13"/>
    <x v="0"/>
    <x v="2"/>
    <x v="11"/>
    <n v="1381.56"/>
    <n v="6"/>
    <x v="4"/>
    <x v="200"/>
    <x v="8"/>
    <x v="2"/>
    <x v="1"/>
    <x v="10"/>
    <s v="11"/>
    <n v="0.13394278931063436"/>
    <x v="3"/>
  </r>
  <r>
    <s v="ORD100203"/>
    <s v="2025-09-05"/>
    <s v="Customer 185"/>
    <x v="1"/>
    <x v="11"/>
    <x v="1"/>
    <x v="5"/>
    <x v="7"/>
    <n v="4907.76"/>
    <n v="6"/>
    <x v="0"/>
    <x v="201"/>
    <x v="5"/>
    <x v="1"/>
    <x v="0"/>
    <x v="5"/>
    <s v="09"/>
    <n v="0.42225169934960144"/>
    <x v="0"/>
  </r>
  <r>
    <s v="ORD100204"/>
    <s v="2025-10-27"/>
    <s v="Customer 126"/>
    <x v="0"/>
    <x v="9"/>
    <x v="2"/>
    <x v="8"/>
    <x v="18"/>
    <n v="1263.28"/>
    <n v="8"/>
    <x v="5"/>
    <x v="202"/>
    <x v="6"/>
    <x v="3"/>
    <x v="0"/>
    <x v="2"/>
    <s v="10"/>
    <n v="-3.5122854790703567E-2"/>
    <x v="3"/>
  </r>
  <r>
    <s v="ORD100205"/>
    <s v="2025-01-02"/>
    <s v="Customer 124"/>
    <x v="3"/>
    <x v="14"/>
    <x v="1"/>
    <x v="5"/>
    <x v="7"/>
    <n v="1046.53"/>
    <n v="1"/>
    <x v="1"/>
    <x v="203"/>
    <x v="8"/>
    <x v="1"/>
    <x v="0"/>
    <x v="0"/>
    <s v="01"/>
    <n v="7.1732296255243508E-2"/>
    <x v="1"/>
  </r>
  <r>
    <s v="ORD100206"/>
    <s v="2025-11-23"/>
    <s v="Customer 15"/>
    <x v="0"/>
    <x v="9"/>
    <x v="2"/>
    <x v="8"/>
    <x v="18"/>
    <n v="8416.24"/>
    <n v="8"/>
    <x v="1"/>
    <x v="204"/>
    <x v="1"/>
    <x v="1"/>
    <x v="0"/>
    <x v="10"/>
    <s v="11"/>
    <n v="-0.13217897778580459"/>
    <x v="1"/>
  </r>
  <r>
    <s v="ORD100207"/>
    <s v="2025-12-05"/>
    <s v="Customer 107"/>
    <x v="1"/>
    <x v="2"/>
    <x v="1"/>
    <x v="3"/>
    <x v="4"/>
    <n v="192.26"/>
    <n v="1"/>
    <x v="5"/>
    <x v="205"/>
    <x v="2"/>
    <x v="3"/>
    <x v="0"/>
    <x v="4"/>
    <s v="12"/>
    <n v="9.8096327889316548E-2"/>
    <x v="3"/>
  </r>
  <r>
    <s v="ORD100208"/>
    <s v="2025-01-29"/>
    <s v="Customer 50"/>
    <x v="2"/>
    <x v="6"/>
    <x v="1"/>
    <x v="5"/>
    <x v="15"/>
    <n v="1135.6500000000001"/>
    <n v="1"/>
    <x v="4"/>
    <x v="206"/>
    <x v="8"/>
    <x v="2"/>
    <x v="0"/>
    <x v="0"/>
    <s v="01"/>
    <n v="0.12572535552326861"/>
    <x v="3"/>
  </r>
  <r>
    <s v="ORD100209"/>
    <s v="2025-11-11"/>
    <s v="Customer 48"/>
    <x v="1"/>
    <x v="2"/>
    <x v="0"/>
    <x v="1"/>
    <x v="19"/>
    <n v="3047.36"/>
    <n v="4"/>
    <x v="2"/>
    <x v="207"/>
    <x v="2"/>
    <x v="0"/>
    <x v="0"/>
    <x v="10"/>
    <s v="11"/>
    <n v="-1.0172739682873045E-3"/>
    <x v="1"/>
  </r>
  <r>
    <s v="ORD100210"/>
    <s v="2025-10-27"/>
    <s v="Customer 183"/>
    <x v="1"/>
    <x v="2"/>
    <x v="1"/>
    <x v="7"/>
    <x v="17"/>
    <n v="2869.83"/>
    <n v="3"/>
    <x v="0"/>
    <x v="208"/>
    <x v="3"/>
    <x v="0"/>
    <x v="0"/>
    <x v="2"/>
    <s v="10"/>
    <n v="0.29693048020266011"/>
    <x v="0"/>
  </r>
  <r>
    <s v="ORD100211"/>
    <s v="2024-07-02"/>
    <s v="Customer 61"/>
    <x v="3"/>
    <x v="15"/>
    <x v="2"/>
    <x v="6"/>
    <x v="8"/>
    <n v="3757.5"/>
    <n v="9"/>
    <x v="5"/>
    <x v="209"/>
    <x v="5"/>
    <x v="3"/>
    <x v="1"/>
    <x v="6"/>
    <s v="07"/>
    <n v="0.13560345974717231"/>
    <x v="3"/>
  </r>
  <r>
    <s v="ORD100212"/>
    <s v="2025-02-28"/>
    <s v="Customer 51"/>
    <x v="3"/>
    <x v="15"/>
    <x v="2"/>
    <x v="6"/>
    <x v="13"/>
    <n v="2536.1999999999998"/>
    <n v="10"/>
    <x v="0"/>
    <x v="210"/>
    <x v="7"/>
    <x v="0"/>
    <x v="0"/>
    <x v="1"/>
    <s v="02"/>
    <n v="0.34414478353442163"/>
    <x v="0"/>
  </r>
  <r>
    <s v="ORD100213"/>
    <s v="2024-02-08"/>
    <s v="Customer 143"/>
    <x v="3"/>
    <x v="15"/>
    <x v="0"/>
    <x v="2"/>
    <x v="11"/>
    <n v="368.8"/>
    <n v="2"/>
    <x v="0"/>
    <x v="211"/>
    <x v="6"/>
    <x v="2"/>
    <x v="1"/>
    <x v="1"/>
    <s v="02"/>
    <n v="0.23080260303687636"/>
    <x v="0"/>
  </r>
  <r>
    <s v="ORD100214"/>
    <s v="2025-08-02"/>
    <s v="Customer 30"/>
    <x v="3"/>
    <x v="14"/>
    <x v="0"/>
    <x v="2"/>
    <x v="2"/>
    <n v="412.71"/>
    <n v="3"/>
    <x v="5"/>
    <x v="212"/>
    <x v="8"/>
    <x v="2"/>
    <x v="0"/>
    <x v="11"/>
    <s v="08"/>
    <n v="-2.0329044607593712E-2"/>
    <x v="3"/>
  </r>
  <r>
    <s v="ORD100215"/>
    <s v="2024-08-30"/>
    <s v="Customer 45"/>
    <x v="1"/>
    <x v="11"/>
    <x v="1"/>
    <x v="7"/>
    <x v="17"/>
    <n v="307.75"/>
    <n v="5"/>
    <x v="6"/>
    <x v="213"/>
    <x v="1"/>
    <x v="2"/>
    <x v="1"/>
    <x v="11"/>
    <s v="08"/>
    <n v="0.31073923639317624"/>
    <x v="2"/>
  </r>
  <r>
    <s v="ORD100216"/>
    <s v="2025-06-27"/>
    <s v="Customer 17"/>
    <x v="0"/>
    <x v="4"/>
    <x v="0"/>
    <x v="0"/>
    <x v="25"/>
    <n v="1233.05"/>
    <n v="5"/>
    <x v="5"/>
    <x v="214"/>
    <x v="9"/>
    <x v="0"/>
    <x v="0"/>
    <x v="9"/>
    <s v="06"/>
    <n v="0.28576294554154336"/>
    <x v="3"/>
  </r>
  <r>
    <s v="ORD100217"/>
    <s v="2024-09-03"/>
    <s v="Customer 135"/>
    <x v="3"/>
    <x v="15"/>
    <x v="0"/>
    <x v="2"/>
    <x v="11"/>
    <n v="2447.1999999999998"/>
    <n v="7"/>
    <x v="1"/>
    <x v="215"/>
    <x v="3"/>
    <x v="1"/>
    <x v="1"/>
    <x v="5"/>
    <s v="09"/>
    <n v="-7.2772965021248776E-2"/>
    <x v="1"/>
  </r>
  <r>
    <s v="ORD100218"/>
    <s v="2025-04-08"/>
    <s v="Customer 86"/>
    <x v="2"/>
    <x v="6"/>
    <x v="2"/>
    <x v="6"/>
    <x v="13"/>
    <n v="1800.32"/>
    <n v="8"/>
    <x v="1"/>
    <x v="216"/>
    <x v="0"/>
    <x v="2"/>
    <x v="0"/>
    <x v="8"/>
    <s v="04"/>
    <n v="2.6967428012797723E-2"/>
    <x v="1"/>
  </r>
  <r>
    <s v="ORD100219"/>
    <s v="2024-11-07"/>
    <s v="Customer 150"/>
    <x v="2"/>
    <x v="6"/>
    <x v="2"/>
    <x v="4"/>
    <x v="26"/>
    <n v="4080.8"/>
    <n v="10"/>
    <x v="2"/>
    <x v="217"/>
    <x v="3"/>
    <x v="0"/>
    <x v="1"/>
    <x v="10"/>
    <s v="11"/>
    <n v="-8.8837972946481075E-2"/>
    <x v="1"/>
  </r>
  <r>
    <s v="ORD100220"/>
    <s v="2025-01-13"/>
    <s v="Customer 70"/>
    <x v="0"/>
    <x v="7"/>
    <x v="2"/>
    <x v="6"/>
    <x v="13"/>
    <n v="6652.98"/>
    <n v="9"/>
    <x v="0"/>
    <x v="218"/>
    <x v="0"/>
    <x v="1"/>
    <x v="0"/>
    <x v="0"/>
    <s v="01"/>
    <n v="8.3469362601420724E-2"/>
    <x v="0"/>
  </r>
  <r>
    <s v="ORD100221"/>
    <s v="2025-11-21"/>
    <s v="Customer 6"/>
    <x v="2"/>
    <x v="3"/>
    <x v="2"/>
    <x v="6"/>
    <x v="13"/>
    <n v="3054.48"/>
    <n v="4"/>
    <x v="0"/>
    <x v="219"/>
    <x v="7"/>
    <x v="2"/>
    <x v="0"/>
    <x v="10"/>
    <s v="11"/>
    <n v="0.21483198449490587"/>
    <x v="0"/>
  </r>
  <r>
    <s v="ORD100222"/>
    <s v="2025-11-19"/>
    <s v="Customer 26"/>
    <x v="0"/>
    <x v="7"/>
    <x v="2"/>
    <x v="6"/>
    <x v="13"/>
    <n v="6696.54"/>
    <n v="6"/>
    <x v="0"/>
    <x v="220"/>
    <x v="6"/>
    <x v="2"/>
    <x v="0"/>
    <x v="10"/>
    <s v="11"/>
    <n v="0.28232340880514412"/>
    <x v="0"/>
  </r>
  <r>
    <s v="ORD100223"/>
    <s v="2025-10-03"/>
    <s v="Customer 96"/>
    <x v="3"/>
    <x v="13"/>
    <x v="2"/>
    <x v="6"/>
    <x v="13"/>
    <n v="3232.7"/>
    <n v="10"/>
    <x v="2"/>
    <x v="221"/>
    <x v="5"/>
    <x v="0"/>
    <x v="0"/>
    <x v="2"/>
    <s v="10"/>
    <n v="3.1165898474959014E-2"/>
    <x v="1"/>
  </r>
  <r>
    <s v="ORD100224"/>
    <s v="2025-03-21"/>
    <s v="Customer 173"/>
    <x v="3"/>
    <x v="15"/>
    <x v="2"/>
    <x v="6"/>
    <x v="23"/>
    <n v="4505.96"/>
    <n v="4"/>
    <x v="6"/>
    <x v="222"/>
    <x v="6"/>
    <x v="3"/>
    <x v="0"/>
    <x v="3"/>
    <s v="03"/>
    <n v="0.18347255634759296"/>
    <x v="2"/>
  </r>
  <r>
    <s v="ORD100225"/>
    <s v="2024-02-07"/>
    <s v="Customer 90"/>
    <x v="2"/>
    <x v="3"/>
    <x v="0"/>
    <x v="1"/>
    <x v="3"/>
    <n v="3291.15"/>
    <n v="5"/>
    <x v="1"/>
    <x v="223"/>
    <x v="4"/>
    <x v="3"/>
    <x v="1"/>
    <x v="1"/>
    <s v="02"/>
    <n v="3.4538079394740441E-2"/>
    <x v="1"/>
  </r>
  <r>
    <s v="ORD100226"/>
    <s v="2025-06-19"/>
    <s v="Customer 79"/>
    <x v="0"/>
    <x v="0"/>
    <x v="1"/>
    <x v="5"/>
    <x v="15"/>
    <n v="1311.12"/>
    <n v="8"/>
    <x v="0"/>
    <x v="224"/>
    <x v="0"/>
    <x v="2"/>
    <x v="0"/>
    <x v="9"/>
    <s v="06"/>
    <n v="0.15303709805357255"/>
    <x v="0"/>
  </r>
  <r>
    <s v="ORD100227"/>
    <s v="2024-09-26"/>
    <s v="Customer 74"/>
    <x v="0"/>
    <x v="0"/>
    <x v="0"/>
    <x v="0"/>
    <x v="25"/>
    <n v="9410.85"/>
    <n v="9"/>
    <x v="1"/>
    <x v="225"/>
    <x v="0"/>
    <x v="3"/>
    <x v="1"/>
    <x v="5"/>
    <s v="09"/>
    <n v="-5.3706094561065156E-2"/>
    <x v="1"/>
  </r>
  <r>
    <s v="ORD100228"/>
    <s v="2025-09-19"/>
    <s v="Customer 94"/>
    <x v="2"/>
    <x v="8"/>
    <x v="2"/>
    <x v="8"/>
    <x v="20"/>
    <n v="899.01"/>
    <n v="9"/>
    <x v="0"/>
    <x v="226"/>
    <x v="4"/>
    <x v="1"/>
    <x v="0"/>
    <x v="5"/>
    <s v="09"/>
    <n v="0.224335658112813"/>
    <x v="0"/>
  </r>
  <r>
    <s v="ORD100229"/>
    <s v="2025-02-02"/>
    <s v="Customer 132"/>
    <x v="3"/>
    <x v="12"/>
    <x v="0"/>
    <x v="0"/>
    <x v="0"/>
    <n v="2519.04"/>
    <n v="6"/>
    <x v="0"/>
    <x v="227"/>
    <x v="0"/>
    <x v="3"/>
    <x v="0"/>
    <x v="1"/>
    <s v="02"/>
    <n v="0.16958444486788618"/>
    <x v="0"/>
  </r>
  <r>
    <s v="ORD100230"/>
    <s v="2024-08-17"/>
    <s v="Customer 151"/>
    <x v="2"/>
    <x v="10"/>
    <x v="2"/>
    <x v="4"/>
    <x v="6"/>
    <n v="630.9"/>
    <n v="5"/>
    <x v="3"/>
    <x v="228"/>
    <x v="0"/>
    <x v="2"/>
    <x v="1"/>
    <x v="11"/>
    <s v="08"/>
    <n v="0.33781898874623556"/>
    <x v="2"/>
  </r>
  <r>
    <s v="ORD100231"/>
    <s v="2025-04-12"/>
    <s v="Customer 65"/>
    <x v="0"/>
    <x v="0"/>
    <x v="0"/>
    <x v="1"/>
    <x v="1"/>
    <n v="4326.28"/>
    <n v="4"/>
    <x v="2"/>
    <x v="229"/>
    <x v="5"/>
    <x v="1"/>
    <x v="0"/>
    <x v="8"/>
    <s v="04"/>
    <n v="4.17726083378792E-2"/>
    <x v="1"/>
  </r>
  <r>
    <s v="ORD100232"/>
    <s v="2025-07-08"/>
    <s v="Customer 167"/>
    <x v="1"/>
    <x v="11"/>
    <x v="1"/>
    <x v="5"/>
    <x v="7"/>
    <n v="6087.72"/>
    <n v="6"/>
    <x v="6"/>
    <x v="230"/>
    <x v="4"/>
    <x v="2"/>
    <x v="0"/>
    <x v="6"/>
    <s v="07"/>
    <n v="9.2277568613536753E-2"/>
    <x v="2"/>
  </r>
  <r>
    <s v="ORD100233"/>
    <s v="2024-07-18"/>
    <s v="Customer 71"/>
    <x v="3"/>
    <x v="13"/>
    <x v="2"/>
    <x v="6"/>
    <x v="8"/>
    <n v="740.29"/>
    <n v="1"/>
    <x v="6"/>
    <x v="231"/>
    <x v="2"/>
    <x v="2"/>
    <x v="1"/>
    <x v="6"/>
    <s v="07"/>
    <n v="0.13932377851922895"/>
    <x v="2"/>
  </r>
  <r>
    <s v="ORD100234"/>
    <s v="2024-01-11"/>
    <s v="Customer 64"/>
    <x v="2"/>
    <x v="3"/>
    <x v="1"/>
    <x v="7"/>
    <x v="16"/>
    <n v="1873.5"/>
    <n v="3"/>
    <x v="6"/>
    <x v="232"/>
    <x v="3"/>
    <x v="0"/>
    <x v="1"/>
    <x v="0"/>
    <s v="01"/>
    <n v="3.822791566586603E-2"/>
    <x v="2"/>
  </r>
  <r>
    <s v="ORD100235"/>
    <s v="2025-03-08"/>
    <s v="Customer 189"/>
    <x v="1"/>
    <x v="5"/>
    <x v="2"/>
    <x v="4"/>
    <x v="6"/>
    <n v="2026.98"/>
    <n v="2"/>
    <x v="1"/>
    <x v="233"/>
    <x v="1"/>
    <x v="1"/>
    <x v="0"/>
    <x v="3"/>
    <s v="03"/>
    <n v="-0.18450601387285517"/>
    <x v="1"/>
  </r>
  <r>
    <s v="ORD100236"/>
    <s v="2024-09-09"/>
    <s v="Customer 2"/>
    <x v="1"/>
    <x v="11"/>
    <x v="1"/>
    <x v="5"/>
    <x v="24"/>
    <n v="314.60000000000002"/>
    <n v="4"/>
    <x v="4"/>
    <x v="234"/>
    <x v="0"/>
    <x v="0"/>
    <x v="1"/>
    <x v="5"/>
    <s v="09"/>
    <n v="-2.0565797838525111E-2"/>
    <x v="3"/>
  </r>
  <r>
    <s v="ORD100237"/>
    <s v="2025-05-10"/>
    <s v="Customer 121"/>
    <x v="2"/>
    <x v="6"/>
    <x v="1"/>
    <x v="7"/>
    <x v="17"/>
    <n v="934.32"/>
    <n v="3"/>
    <x v="3"/>
    <x v="235"/>
    <x v="2"/>
    <x v="0"/>
    <x v="0"/>
    <x v="7"/>
    <s v="05"/>
    <n v="0.28551245825841248"/>
    <x v="2"/>
  </r>
  <r>
    <s v="ORD100238"/>
    <s v="2025-09-30"/>
    <s v="Customer 67"/>
    <x v="2"/>
    <x v="8"/>
    <x v="1"/>
    <x v="3"/>
    <x v="5"/>
    <n v="743.13"/>
    <n v="9"/>
    <x v="4"/>
    <x v="236"/>
    <x v="1"/>
    <x v="1"/>
    <x v="0"/>
    <x v="5"/>
    <s v="09"/>
    <n v="-0.11521537281498527"/>
    <x v="3"/>
  </r>
  <r>
    <s v="ORD100239"/>
    <s v="2024-10-26"/>
    <s v="Customer 22"/>
    <x v="1"/>
    <x v="2"/>
    <x v="2"/>
    <x v="4"/>
    <x v="26"/>
    <n v="1885.6"/>
    <n v="2"/>
    <x v="4"/>
    <x v="237"/>
    <x v="1"/>
    <x v="0"/>
    <x v="1"/>
    <x v="2"/>
    <s v="10"/>
    <n v="7.869113279592703E-2"/>
    <x v="3"/>
  </r>
  <r>
    <s v="ORD100240"/>
    <s v="2025-01-31"/>
    <s v="Customer 91"/>
    <x v="0"/>
    <x v="7"/>
    <x v="2"/>
    <x v="8"/>
    <x v="12"/>
    <n v="7725.92"/>
    <n v="8"/>
    <x v="5"/>
    <x v="238"/>
    <x v="2"/>
    <x v="1"/>
    <x v="0"/>
    <x v="0"/>
    <s v="01"/>
    <n v="0.13928697164868389"/>
    <x v="3"/>
  </r>
  <r>
    <s v="ORD100241"/>
    <s v="2024-02-11"/>
    <s v="Customer 153"/>
    <x v="2"/>
    <x v="8"/>
    <x v="0"/>
    <x v="0"/>
    <x v="22"/>
    <n v="123"/>
    <n v="1"/>
    <x v="0"/>
    <x v="239"/>
    <x v="8"/>
    <x v="3"/>
    <x v="1"/>
    <x v="1"/>
    <s v="02"/>
    <n v="0.12642276422764229"/>
    <x v="0"/>
  </r>
  <r>
    <s v="ORD100242"/>
    <s v="2025-08-07"/>
    <s v="Customer 69"/>
    <x v="2"/>
    <x v="3"/>
    <x v="0"/>
    <x v="2"/>
    <x v="11"/>
    <n v="366.1"/>
    <n v="7"/>
    <x v="3"/>
    <x v="240"/>
    <x v="7"/>
    <x v="1"/>
    <x v="0"/>
    <x v="11"/>
    <s v="08"/>
    <n v="0.2939907129199672"/>
    <x v="2"/>
  </r>
  <r>
    <s v="ORD100243"/>
    <s v="2025-12-24"/>
    <s v="Customer 170"/>
    <x v="0"/>
    <x v="4"/>
    <x v="0"/>
    <x v="0"/>
    <x v="25"/>
    <n v="1039.4000000000001"/>
    <n v="10"/>
    <x v="3"/>
    <x v="241"/>
    <x v="4"/>
    <x v="0"/>
    <x v="0"/>
    <x v="4"/>
    <s v="12"/>
    <n v="0.25584952857417742"/>
    <x v="2"/>
  </r>
  <r>
    <s v="ORD100244"/>
    <s v="2025-03-05"/>
    <s v="Customer 66"/>
    <x v="1"/>
    <x v="2"/>
    <x v="2"/>
    <x v="8"/>
    <x v="20"/>
    <n v="4093.56"/>
    <n v="9"/>
    <x v="6"/>
    <x v="242"/>
    <x v="2"/>
    <x v="0"/>
    <x v="0"/>
    <x v="3"/>
    <s v="03"/>
    <n v="0.213024848786875"/>
    <x v="2"/>
  </r>
  <r>
    <s v="ORD100245"/>
    <s v="2025-05-09"/>
    <s v="Customer 148"/>
    <x v="2"/>
    <x v="8"/>
    <x v="0"/>
    <x v="1"/>
    <x v="3"/>
    <n v="5267.2"/>
    <n v="5"/>
    <x v="2"/>
    <x v="243"/>
    <x v="9"/>
    <x v="1"/>
    <x v="0"/>
    <x v="7"/>
    <s v="05"/>
    <n v="5.4903933778857841E-2"/>
    <x v="1"/>
  </r>
  <r>
    <s v="ORD100246"/>
    <s v="2025-06-13"/>
    <s v="Customer 112"/>
    <x v="1"/>
    <x v="5"/>
    <x v="2"/>
    <x v="4"/>
    <x v="26"/>
    <n v="1542.69"/>
    <n v="9"/>
    <x v="2"/>
    <x v="244"/>
    <x v="8"/>
    <x v="2"/>
    <x v="0"/>
    <x v="9"/>
    <s v="06"/>
    <n v="2.4645262496029663E-2"/>
    <x v="1"/>
  </r>
  <r>
    <s v="ORD100247"/>
    <s v="2025-07-13"/>
    <s v="Customer 67"/>
    <x v="2"/>
    <x v="10"/>
    <x v="2"/>
    <x v="6"/>
    <x v="13"/>
    <n v="685.38"/>
    <n v="6"/>
    <x v="4"/>
    <x v="245"/>
    <x v="3"/>
    <x v="3"/>
    <x v="0"/>
    <x v="6"/>
    <s v="07"/>
    <n v="0.16023227990311942"/>
    <x v="3"/>
  </r>
  <r>
    <s v="ORD100248"/>
    <s v="2025-07-16"/>
    <s v="Customer 86"/>
    <x v="2"/>
    <x v="10"/>
    <x v="0"/>
    <x v="1"/>
    <x v="1"/>
    <n v="1548.19"/>
    <n v="7"/>
    <x v="1"/>
    <x v="246"/>
    <x v="7"/>
    <x v="2"/>
    <x v="0"/>
    <x v="6"/>
    <s v="07"/>
    <n v="-6.7117085112292418E-2"/>
    <x v="1"/>
  </r>
  <r>
    <s v="ORD100249"/>
    <s v="2024-03-14"/>
    <s v="Customer 106"/>
    <x v="3"/>
    <x v="15"/>
    <x v="2"/>
    <x v="8"/>
    <x v="20"/>
    <n v="5036.3999999999996"/>
    <n v="6"/>
    <x v="0"/>
    <x v="247"/>
    <x v="3"/>
    <x v="2"/>
    <x v="1"/>
    <x v="3"/>
    <s v="03"/>
    <n v="0.43306528472718614"/>
    <x v="0"/>
  </r>
  <r>
    <s v="ORD100250"/>
    <s v="2024-01-16"/>
    <s v="Customer 128"/>
    <x v="0"/>
    <x v="7"/>
    <x v="1"/>
    <x v="7"/>
    <x v="17"/>
    <n v="3679.14"/>
    <n v="6"/>
    <x v="1"/>
    <x v="248"/>
    <x v="7"/>
    <x v="2"/>
    <x v="1"/>
    <x v="0"/>
    <s v="01"/>
    <n v="-0.16265214153307567"/>
    <x v="1"/>
  </r>
  <r>
    <s v="ORD100251"/>
    <s v="2024-02-04"/>
    <s v="Customer 161"/>
    <x v="1"/>
    <x v="11"/>
    <x v="2"/>
    <x v="6"/>
    <x v="8"/>
    <n v="3349.71"/>
    <n v="7"/>
    <x v="3"/>
    <x v="249"/>
    <x v="0"/>
    <x v="3"/>
    <x v="1"/>
    <x v="1"/>
    <s v="02"/>
    <n v="0.20794934486866029"/>
    <x v="2"/>
  </r>
  <r>
    <s v="ORD100252"/>
    <s v="2025-01-11"/>
    <s v="Customer 134"/>
    <x v="3"/>
    <x v="15"/>
    <x v="0"/>
    <x v="1"/>
    <x v="3"/>
    <n v="2559.88"/>
    <n v="4"/>
    <x v="3"/>
    <x v="250"/>
    <x v="7"/>
    <x v="2"/>
    <x v="0"/>
    <x v="0"/>
    <s v="01"/>
    <n v="0.32415972623716732"/>
    <x v="2"/>
  </r>
  <r>
    <s v="ORD100253"/>
    <s v="2025-01-31"/>
    <s v="Customer 122"/>
    <x v="2"/>
    <x v="3"/>
    <x v="2"/>
    <x v="4"/>
    <x v="26"/>
    <n v="6758.85"/>
    <n v="7"/>
    <x v="0"/>
    <x v="251"/>
    <x v="8"/>
    <x v="0"/>
    <x v="0"/>
    <x v="0"/>
    <s v="01"/>
    <n v="0.19075582384577255"/>
    <x v="0"/>
  </r>
  <r>
    <s v="ORD100254"/>
    <s v="2025-07-27"/>
    <s v="Customer 69"/>
    <x v="1"/>
    <x v="5"/>
    <x v="1"/>
    <x v="3"/>
    <x v="14"/>
    <n v="2126.8000000000002"/>
    <n v="4"/>
    <x v="0"/>
    <x v="252"/>
    <x v="0"/>
    <x v="3"/>
    <x v="0"/>
    <x v="6"/>
    <s v="07"/>
    <n v="0.20724562723340226"/>
    <x v="0"/>
  </r>
  <r>
    <s v="ORD100255"/>
    <s v="2024-01-03"/>
    <s v="Customer 128"/>
    <x v="1"/>
    <x v="5"/>
    <x v="2"/>
    <x v="4"/>
    <x v="26"/>
    <n v="8304.48"/>
    <n v="8"/>
    <x v="6"/>
    <x v="253"/>
    <x v="0"/>
    <x v="0"/>
    <x v="1"/>
    <x v="0"/>
    <s v="01"/>
    <n v="0.21481296842186387"/>
    <x v="2"/>
  </r>
  <r>
    <s v="ORD100256"/>
    <s v="2024-10-13"/>
    <s v="Customer 194"/>
    <x v="0"/>
    <x v="0"/>
    <x v="2"/>
    <x v="4"/>
    <x v="6"/>
    <n v="5749.02"/>
    <n v="6"/>
    <x v="3"/>
    <x v="254"/>
    <x v="3"/>
    <x v="0"/>
    <x v="1"/>
    <x v="2"/>
    <s v="10"/>
    <n v="0.21099248219696573"/>
    <x v="2"/>
  </r>
  <r>
    <s v="ORD100257"/>
    <s v="2024-10-16"/>
    <s v="Customer 69"/>
    <x v="1"/>
    <x v="1"/>
    <x v="2"/>
    <x v="6"/>
    <x v="8"/>
    <n v="250.05"/>
    <n v="3"/>
    <x v="0"/>
    <x v="255"/>
    <x v="9"/>
    <x v="3"/>
    <x v="1"/>
    <x v="2"/>
    <s v="10"/>
    <n v="0.12737452509498101"/>
    <x v="0"/>
  </r>
  <r>
    <s v="ORD100258"/>
    <s v="2024-06-24"/>
    <s v="Customer 22"/>
    <x v="0"/>
    <x v="4"/>
    <x v="2"/>
    <x v="8"/>
    <x v="18"/>
    <n v="1999.84"/>
    <n v="2"/>
    <x v="6"/>
    <x v="256"/>
    <x v="5"/>
    <x v="1"/>
    <x v="1"/>
    <x v="9"/>
    <s v="06"/>
    <n v="0.38724097927834228"/>
    <x v="2"/>
  </r>
  <r>
    <s v="ORD100259"/>
    <s v="2024-01-12"/>
    <s v="Customer 59"/>
    <x v="1"/>
    <x v="11"/>
    <x v="0"/>
    <x v="2"/>
    <x v="2"/>
    <n v="274.24"/>
    <n v="4"/>
    <x v="3"/>
    <x v="257"/>
    <x v="4"/>
    <x v="0"/>
    <x v="1"/>
    <x v="0"/>
    <s v="01"/>
    <n v="0.31731330221703613"/>
    <x v="2"/>
  </r>
  <r>
    <s v="ORD100260"/>
    <s v="2025-04-13"/>
    <s v="Customer 191"/>
    <x v="2"/>
    <x v="10"/>
    <x v="2"/>
    <x v="4"/>
    <x v="10"/>
    <n v="3566.43"/>
    <n v="9"/>
    <x v="2"/>
    <x v="258"/>
    <x v="4"/>
    <x v="3"/>
    <x v="0"/>
    <x v="8"/>
    <s v="04"/>
    <n v="0.1488042664513253"/>
    <x v="1"/>
  </r>
  <r>
    <s v="ORD100261"/>
    <s v="2024-04-12"/>
    <s v="Customer 156"/>
    <x v="2"/>
    <x v="8"/>
    <x v="2"/>
    <x v="6"/>
    <x v="13"/>
    <n v="555.78"/>
    <n v="3"/>
    <x v="3"/>
    <x v="259"/>
    <x v="7"/>
    <x v="2"/>
    <x v="1"/>
    <x v="8"/>
    <s v="04"/>
    <n v="0.17440354096944835"/>
    <x v="2"/>
  </r>
  <r>
    <s v="ORD100262"/>
    <s v="2024-09-05"/>
    <s v="Customer 70"/>
    <x v="1"/>
    <x v="5"/>
    <x v="1"/>
    <x v="7"/>
    <x v="17"/>
    <n v="6562.26"/>
    <n v="9"/>
    <x v="5"/>
    <x v="260"/>
    <x v="4"/>
    <x v="3"/>
    <x v="1"/>
    <x v="5"/>
    <s v="09"/>
    <n v="9.7286605529192674E-2"/>
    <x v="3"/>
  </r>
  <r>
    <s v="ORD100263"/>
    <s v="2024-08-30"/>
    <s v="Customer 103"/>
    <x v="0"/>
    <x v="7"/>
    <x v="2"/>
    <x v="8"/>
    <x v="12"/>
    <n v="2862.05"/>
    <n v="5"/>
    <x v="1"/>
    <x v="261"/>
    <x v="0"/>
    <x v="3"/>
    <x v="1"/>
    <x v="11"/>
    <s v="08"/>
    <n v="-4.3269684317185232E-2"/>
    <x v="1"/>
  </r>
  <r>
    <s v="ORD100264"/>
    <s v="2025-02-27"/>
    <s v="Customer 59"/>
    <x v="2"/>
    <x v="6"/>
    <x v="2"/>
    <x v="4"/>
    <x v="26"/>
    <n v="1000.94"/>
    <n v="2"/>
    <x v="3"/>
    <x v="262"/>
    <x v="4"/>
    <x v="2"/>
    <x v="0"/>
    <x v="1"/>
    <s v="02"/>
    <n v="0.17617439606769636"/>
    <x v="2"/>
  </r>
  <r>
    <s v="ORD100265"/>
    <s v="2025-01-29"/>
    <s v="Customer 18"/>
    <x v="2"/>
    <x v="6"/>
    <x v="1"/>
    <x v="5"/>
    <x v="15"/>
    <n v="2710.4"/>
    <n v="8"/>
    <x v="5"/>
    <x v="263"/>
    <x v="9"/>
    <x v="2"/>
    <x v="0"/>
    <x v="0"/>
    <s v="01"/>
    <n v="0.19712219598583233"/>
    <x v="3"/>
  </r>
  <r>
    <s v="ORD100266"/>
    <s v="2025-01-20"/>
    <s v="Customer 49"/>
    <x v="0"/>
    <x v="9"/>
    <x v="2"/>
    <x v="6"/>
    <x v="8"/>
    <n v="2606.6999999999998"/>
    <n v="5"/>
    <x v="2"/>
    <x v="264"/>
    <x v="2"/>
    <x v="0"/>
    <x v="0"/>
    <x v="0"/>
    <s v="01"/>
    <n v="-1.0634135113361722E-2"/>
    <x v="1"/>
  </r>
  <r>
    <s v="ORD100267"/>
    <s v="2025-04-22"/>
    <s v="Customer 138"/>
    <x v="2"/>
    <x v="8"/>
    <x v="0"/>
    <x v="2"/>
    <x v="21"/>
    <n v="316.25"/>
    <n v="5"/>
    <x v="0"/>
    <x v="265"/>
    <x v="7"/>
    <x v="0"/>
    <x v="0"/>
    <x v="8"/>
    <s v="04"/>
    <n v="9.4956521739130439E-2"/>
    <x v="0"/>
  </r>
  <r>
    <s v="ORD100268"/>
    <s v="2024-12-06"/>
    <s v="Customer 32"/>
    <x v="3"/>
    <x v="15"/>
    <x v="2"/>
    <x v="4"/>
    <x v="6"/>
    <n v="1954.28"/>
    <n v="4"/>
    <x v="3"/>
    <x v="266"/>
    <x v="5"/>
    <x v="3"/>
    <x v="1"/>
    <x v="4"/>
    <s v="12"/>
    <n v="0.16902900300878071"/>
    <x v="2"/>
  </r>
  <r>
    <s v="ORD100269"/>
    <s v="2025-05-14"/>
    <s v="Customer 17"/>
    <x v="2"/>
    <x v="3"/>
    <x v="1"/>
    <x v="7"/>
    <x v="9"/>
    <n v="9531.9"/>
    <n v="10"/>
    <x v="6"/>
    <x v="267"/>
    <x v="3"/>
    <x v="1"/>
    <x v="0"/>
    <x v="7"/>
    <s v="05"/>
    <n v="0.20729130603552284"/>
    <x v="2"/>
  </r>
  <r>
    <s v="ORD100270"/>
    <s v="2024-07-24"/>
    <s v="Customer 161"/>
    <x v="1"/>
    <x v="11"/>
    <x v="0"/>
    <x v="2"/>
    <x v="2"/>
    <n v="4440.7"/>
    <n v="5"/>
    <x v="2"/>
    <x v="268"/>
    <x v="3"/>
    <x v="3"/>
    <x v="1"/>
    <x v="6"/>
    <s v="07"/>
    <n v="0.13838809196748261"/>
    <x v="1"/>
  </r>
  <r>
    <s v="ORD100271"/>
    <s v="2024-03-07"/>
    <s v="Customer 64"/>
    <x v="1"/>
    <x v="2"/>
    <x v="2"/>
    <x v="8"/>
    <x v="18"/>
    <n v="3007.44"/>
    <n v="6"/>
    <x v="4"/>
    <x v="269"/>
    <x v="7"/>
    <x v="3"/>
    <x v="1"/>
    <x v="3"/>
    <s v="03"/>
    <n v="-3.8507833905248319E-2"/>
    <x v="3"/>
  </r>
  <r>
    <s v="ORD100272"/>
    <s v="2024-04-21"/>
    <s v="Customer 149"/>
    <x v="1"/>
    <x v="5"/>
    <x v="2"/>
    <x v="8"/>
    <x v="18"/>
    <n v="6130.08"/>
    <n v="6"/>
    <x v="3"/>
    <x v="270"/>
    <x v="9"/>
    <x v="1"/>
    <x v="1"/>
    <x v="8"/>
    <s v="04"/>
    <n v="6.2783846214078773E-2"/>
    <x v="2"/>
  </r>
  <r>
    <s v="ORD100273"/>
    <s v="2024-02-01"/>
    <s v="Customer 149"/>
    <x v="2"/>
    <x v="10"/>
    <x v="0"/>
    <x v="2"/>
    <x v="11"/>
    <n v="325.98"/>
    <n v="1"/>
    <x v="5"/>
    <x v="107"/>
    <x v="1"/>
    <x v="3"/>
    <x v="1"/>
    <x v="1"/>
    <s v="02"/>
    <n v="1.4356709000552179E-2"/>
    <x v="3"/>
  </r>
  <r>
    <s v="ORD100274"/>
    <s v="2025-12-19"/>
    <s v="Customer 154"/>
    <x v="2"/>
    <x v="8"/>
    <x v="2"/>
    <x v="8"/>
    <x v="12"/>
    <n v="78.540000000000006"/>
    <n v="2"/>
    <x v="5"/>
    <x v="271"/>
    <x v="6"/>
    <x v="0"/>
    <x v="0"/>
    <x v="4"/>
    <s v="12"/>
    <n v="0.12108479755538577"/>
    <x v="3"/>
  </r>
  <r>
    <s v="ORD100275"/>
    <s v="2024-06-14"/>
    <s v="Customer 192"/>
    <x v="0"/>
    <x v="4"/>
    <x v="0"/>
    <x v="0"/>
    <x v="22"/>
    <n v="2913.24"/>
    <n v="3"/>
    <x v="2"/>
    <x v="272"/>
    <x v="9"/>
    <x v="2"/>
    <x v="1"/>
    <x v="9"/>
    <s v="06"/>
    <n v="-4.846150677596079E-2"/>
    <x v="1"/>
  </r>
  <r>
    <s v="ORD100276"/>
    <s v="2024-11-29"/>
    <s v="Customer 12"/>
    <x v="1"/>
    <x v="2"/>
    <x v="1"/>
    <x v="7"/>
    <x v="9"/>
    <n v="9035.2800000000007"/>
    <n v="8"/>
    <x v="3"/>
    <x v="273"/>
    <x v="4"/>
    <x v="1"/>
    <x v="1"/>
    <x v="10"/>
    <s v="11"/>
    <n v="3.242843608609805E-2"/>
    <x v="2"/>
  </r>
  <r>
    <s v="ORD100277"/>
    <s v="2025-09-25"/>
    <s v="Customer 62"/>
    <x v="3"/>
    <x v="13"/>
    <x v="1"/>
    <x v="7"/>
    <x v="17"/>
    <n v="8986.24"/>
    <n v="8"/>
    <x v="4"/>
    <x v="274"/>
    <x v="4"/>
    <x v="2"/>
    <x v="0"/>
    <x v="5"/>
    <s v="09"/>
    <n v="1.156323445623531E-2"/>
    <x v="3"/>
  </r>
  <r>
    <s v="ORD100278"/>
    <s v="2025-01-09"/>
    <s v="Customer 180"/>
    <x v="0"/>
    <x v="4"/>
    <x v="2"/>
    <x v="8"/>
    <x v="18"/>
    <n v="9611.82"/>
    <n v="9"/>
    <x v="0"/>
    <x v="275"/>
    <x v="6"/>
    <x v="3"/>
    <x v="0"/>
    <x v="0"/>
    <s v="01"/>
    <n v="0.35716232721794627"/>
    <x v="0"/>
  </r>
  <r>
    <s v="ORD100279"/>
    <s v="2024-09-14"/>
    <s v="Customer 95"/>
    <x v="1"/>
    <x v="1"/>
    <x v="1"/>
    <x v="7"/>
    <x v="17"/>
    <n v="6228.12"/>
    <n v="6"/>
    <x v="0"/>
    <x v="276"/>
    <x v="4"/>
    <x v="1"/>
    <x v="1"/>
    <x v="5"/>
    <s v="09"/>
    <n v="0.2665684026640463"/>
    <x v="0"/>
  </r>
  <r>
    <s v="ORD100280"/>
    <s v="2024-04-25"/>
    <s v="Customer 190"/>
    <x v="2"/>
    <x v="3"/>
    <x v="0"/>
    <x v="0"/>
    <x v="0"/>
    <n v="3499.32"/>
    <n v="6"/>
    <x v="0"/>
    <x v="277"/>
    <x v="2"/>
    <x v="3"/>
    <x v="1"/>
    <x v="8"/>
    <s v="04"/>
    <n v="0.1449881691300024"/>
    <x v="0"/>
  </r>
  <r>
    <s v="ORD100281"/>
    <s v="2025-05-02"/>
    <s v="Customer 95"/>
    <x v="0"/>
    <x v="4"/>
    <x v="0"/>
    <x v="1"/>
    <x v="3"/>
    <n v="7594.02"/>
    <n v="7"/>
    <x v="5"/>
    <x v="278"/>
    <x v="8"/>
    <x v="3"/>
    <x v="0"/>
    <x v="7"/>
    <s v="05"/>
    <n v="6.8071982955009339E-2"/>
    <x v="3"/>
  </r>
  <r>
    <s v="ORD100282"/>
    <s v="2025-06-05"/>
    <s v="Customer 142"/>
    <x v="1"/>
    <x v="5"/>
    <x v="1"/>
    <x v="5"/>
    <x v="7"/>
    <n v="6642.08"/>
    <n v="8"/>
    <x v="4"/>
    <x v="279"/>
    <x v="8"/>
    <x v="0"/>
    <x v="0"/>
    <x v="9"/>
    <s v="06"/>
    <n v="0.11895671235516585"/>
    <x v="3"/>
  </r>
  <r>
    <s v="ORD100283"/>
    <s v="2024-12-22"/>
    <s v="Customer 42"/>
    <x v="3"/>
    <x v="13"/>
    <x v="1"/>
    <x v="5"/>
    <x v="15"/>
    <n v="3514.35"/>
    <n v="5"/>
    <x v="1"/>
    <x v="280"/>
    <x v="5"/>
    <x v="3"/>
    <x v="1"/>
    <x v="4"/>
    <s v="12"/>
    <n v="-4.8694637699716874E-2"/>
    <x v="1"/>
  </r>
  <r>
    <s v="ORD100284"/>
    <s v="2024-04-30"/>
    <s v="Customer 128"/>
    <x v="2"/>
    <x v="8"/>
    <x v="1"/>
    <x v="5"/>
    <x v="15"/>
    <n v="5785.38"/>
    <n v="9"/>
    <x v="1"/>
    <x v="281"/>
    <x v="6"/>
    <x v="0"/>
    <x v="1"/>
    <x v="8"/>
    <s v="04"/>
    <n v="-0.17011847104252445"/>
    <x v="1"/>
  </r>
  <r>
    <s v="ORD100285"/>
    <s v="2024-03-01"/>
    <s v="Customer 108"/>
    <x v="2"/>
    <x v="10"/>
    <x v="0"/>
    <x v="2"/>
    <x v="21"/>
    <n v="1766.61"/>
    <n v="9"/>
    <x v="1"/>
    <x v="282"/>
    <x v="0"/>
    <x v="0"/>
    <x v="1"/>
    <x v="3"/>
    <s v="03"/>
    <n v="-0.1285569537136097"/>
    <x v="1"/>
  </r>
  <r>
    <s v="ORD100286"/>
    <s v="2025-02-18"/>
    <s v="Customer 167"/>
    <x v="2"/>
    <x v="6"/>
    <x v="2"/>
    <x v="8"/>
    <x v="12"/>
    <n v="150.61000000000001"/>
    <n v="1"/>
    <x v="2"/>
    <x v="283"/>
    <x v="4"/>
    <x v="1"/>
    <x v="0"/>
    <x v="1"/>
    <s v="02"/>
    <n v="-0.24925303764690257"/>
    <x v="1"/>
  </r>
  <r>
    <s v="ORD100287"/>
    <s v="2024-11-07"/>
    <s v="Customer 43"/>
    <x v="2"/>
    <x v="10"/>
    <x v="0"/>
    <x v="2"/>
    <x v="21"/>
    <n v="4844.22"/>
    <n v="6"/>
    <x v="4"/>
    <x v="284"/>
    <x v="4"/>
    <x v="2"/>
    <x v="1"/>
    <x v="10"/>
    <s v="11"/>
    <n v="-6.4922732658714913E-2"/>
    <x v="3"/>
  </r>
  <r>
    <s v="ORD100288"/>
    <s v="2024-04-09"/>
    <s v="Customer 7"/>
    <x v="3"/>
    <x v="12"/>
    <x v="1"/>
    <x v="7"/>
    <x v="17"/>
    <n v="1203.3599999999999"/>
    <n v="2"/>
    <x v="4"/>
    <x v="285"/>
    <x v="6"/>
    <x v="3"/>
    <x v="1"/>
    <x v="8"/>
    <s v="04"/>
    <n v="0.15924577848690336"/>
    <x v="3"/>
  </r>
  <r>
    <s v="ORD100289"/>
    <s v="2025-12-05"/>
    <s v="Customer 157"/>
    <x v="2"/>
    <x v="3"/>
    <x v="2"/>
    <x v="8"/>
    <x v="18"/>
    <n v="4331.32"/>
    <n v="7"/>
    <x v="2"/>
    <x v="286"/>
    <x v="4"/>
    <x v="3"/>
    <x v="0"/>
    <x v="4"/>
    <s v="12"/>
    <n v="-0.17888542061080687"/>
    <x v="1"/>
  </r>
  <r>
    <s v="ORD100290"/>
    <s v="2025-05-09"/>
    <s v="Customer 126"/>
    <x v="0"/>
    <x v="0"/>
    <x v="1"/>
    <x v="5"/>
    <x v="15"/>
    <n v="5096.5200000000004"/>
    <n v="9"/>
    <x v="2"/>
    <x v="287"/>
    <x v="6"/>
    <x v="2"/>
    <x v="0"/>
    <x v="7"/>
    <s v="05"/>
    <n v="0.11986806683776378"/>
    <x v="1"/>
  </r>
  <r>
    <s v="ORD100291"/>
    <s v="2024-11-21"/>
    <s v="Customer 181"/>
    <x v="2"/>
    <x v="6"/>
    <x v="2"/>
    <x v="4"/>
    <x v="6"/>
    <n v="4739.1000000000004"/>
    <n v="6"/>
    <x v="2"/>
    <x v="288"/>
    <x v="4"/>
    <x v="2"/>
    <x v="1"/>
    <x v="10"/>
    <s v="11"/>
    <n v="1.5494503175708468E-2"/>
    <x v="1"/>
  </r>
  <r>
    <s v="ORD100292"/>
    <s v="2025-12-24"/>
    <s v="Customer 162"/>
    <x v="0"/>
    <x v="7"/>
    <x v="2"/>
    <x v="6"/>
    <x v="8"/>
    <n v="188.91"/>
    <n v="1"/>
    <x v="3"/>
    <x v="289"/>
    <x v="3"/>
    <x v="2"/>
    <x v="0"/>
    <x v="4"/>
    <s v="12"/>
    <n v="-9.6871526123550895E-3"/>
    <x v="2"/>
  </r>
  <r>
    <s v="ORD100293"/>
    <s v="2024-10-10"/>
    <s v="Customer 126"/>
    <x v="1"/>
    <x v="11"/>
    <x v="1"/>
    <x v="5"/>
    <x v="24"/>
    <n v="1066.8699999999999"/>
    <n v="7"/>
    <x v="4"/>
    <x v="290"/>
    <x v="3"/>
    <x v="1"/>
    <x v="1"/>
    <x v="2"/>
    <s v="10"/>
    <n v="-0.14802178334754937"/>
    <x v="3"/>
  </r>
  <r>
    <s v="ORD100294"/>
    <s v="2025-12-02"/>
    <s v="Customer 167"/>
    <x v="1"/>
    <x v="1"/>
    <x v="2"/>
    <x v="6"/>
    <x v="13"/>
    <n v="1545.87"/>
    <n v="3"/>
    <x v="1"/>
    <x v="291"/>
    <x v="2"/>
    <x v="2"/>
    <x v="0"/>
    <x v="4"/>
    <s v="12"/>
    <n v="-9.6250008086061573E-2"/>
    <x v="1"/>
  </r>
  <r>
    <s v="ORD100295"/>
    <s v="2024-06-24"/>
    <s v="Customer 52"/>
    <x v="1"/>
    <x v="5"/>
    <x v="0"/>
    <x v="2"/>
    <x v="2"/>
    <n v="6220.89"/>
    <n v="9"/>
    <x v="5"/>
    <x v="292"/>
    <x v="8"/>
    <x v="1"/>
    <x v="1"/>
    <x v="9"/>
    <s v="06"/>
    <n v="0.25777662038711502"/>
    <x v="3"/>
  </r>
  <r>
    <s v="ORD100296"/>
    <s v="2024-01-17"/>
    <s v="Customer 42"/>
    <x v="0"/>
    <x v="0"/>
    <x v="1"/>
    <x v="3"/>
    <x v="5"/>
    <n v="1767.54"/>
    <n v="3"/>
    <x v="1"/>
    <x v="293"/>
    <x v="7"/>
    <x v="1"/>
    <x v="1"/>
    <x v="0"/>
    <s v="01"/>
    <n v="-2.3609083811398892E-2"/>
    <x v="1"/>
  </r>
  <r>
    <s v="ORD100297"/>
    <s v="2024-12-13"/>
    <s v="Customer 100"/>
    <x v="1"/>
    <x v="11"/>
    <x v="2"/>
    <x v="6"/>
    <x v="8"/>
    <n v="360.34"/>
    <n v="2"/>
    <x v="4"/>
    <x v="294"/>
    <x v="3"/>
    <x v="2"/>
    <x v="1"/>
    <x v="4"/>
    <s v="12"/>
    <n v="0.16223566631514683"/>
    <x v="3"/>
  </r>
  <r>
    <s v="ORD100298"/>
    <s v="2024-04-01"/>
    <s v="Customer 38"/>
    <x v="2"/>
    <x v="8"/>
    <x v="2"/>
    <x v="8"/>
    <x v="12"/>
    <n v="66.62"/>
    <n v="1"/>
    <x v="2"/>
    <x v="295"/>
    <x v="8"/>
    <x v="2"/>
    <x v="1"/>
    <x v="8"/>
    <s v="04"/>
    <n v="-0.21239867907535273"/>
    <x v="1"/>
  </r>
  <r>
    <s v="ORD100299"/>
    <s v="2024-12-23"/>
    <s v="Customer 2"/>
    <x v="2"/>
    <x v="10"/>
    <x v="2"/>
    <x v="8"/>
    <x v="12"/>
    <n v="2104.5300000000002"/>
    <n v="3"/>
    <x v="2"/>
    <x v="296"/>
    <x v="4"/>
    <x v="2"/>
    <x v="1"/>
    <x v="4"/>
    <s v="12"/>
    <n v="2.6865856034363964E-2"/>
    <x v="1"/>
  </r>
  <r>
    <s v="ORD100300"/>
    <s v="2024-05-24"/>
    <s v="Customer 113"/>
    <x v="3"/>
    <x v="14"/>
    <x v="2"/>
    <x v="4"/>
    <x v="26"/>
    <n v="4220.6499999999996"/>
    <n v="7"/>
    <x v="5"/>
    <x v="297"/>
    <x v="5"/>
    <x v="3"/>
    <x v="1"/>
    <x v="7"/>
    <s v="05"/>
    <n v="0.17398031108952414"/>
    <x v="3"/>
  </r>
  <r>
    <s v="ORD100301"/>
    <s v="2024-04-27"/>
    <s v="Customer 144"/>
    <x v="0"/>
    <x v="9"/>
    <x v="0"/>
    <x v="2"/>
    <x v="21"/>
    <n v="3936.48"/>
    <n v="8"/>
    <x v="0"/>
    <x v="298"/>
    <x v="1"/>
    <x v="1"/>
    <x v="1"/>
    <x v="8"/>
    <s v="04"/>
    <n v="0.20868135999674836"/>
    <x v="0"/>
  </r>
  <r>
    <s v="ORD100302"/>
    <s v="2024-01-16"/>
    <s v="Customer 170"/>
    <x v="1"/>
    <x v="5"/>
    <x v="1"/>
    <x v="5"/>
    <x v="15"/>
    <n v="913"/>
    <n v="4"/>
    <x v="2"/>
    <x v="299"/>
    <x v="3"/>
    <x v="3"/>
    <x v="1"/>
    <x v="0"/>
    <s v="01"/>
    <n v="-1.8937568455640742E-2"/>
    <x v="1"/>
  </r>
  <r>
    <s v="ORD100303"/>
    <s v="2025-02-15"/>
    <s v="Customer 74"/>
    <x v="1"/>
    <x v="11"/>
    <x v="1"/>
    <x v="3"/>
    <x v="4"/>
    <n v="1344.54"/>
    <n v="3"/>
    <x v="2"/>
    <x v="300"/>
    <x v="2"/>
    <x v="1"/>
    <x v="0"/>
    <x v="1"/>
    <s v="02"/>
    <n v="3.3372008270486558E-2"/>
    <x v="1"/>
  </r>
  <r>
    <s v="ORD100304"/>
    <s v="2025-02-05"/>
    <s v="Customer 41"/>
    <x v="0"/>
    <x v="9"/>
    <x v="2"/>
    <x v="4"/>
    <x v="26"/>
    <n v="48.06"/>
    <n v="3"/>
    <x v="2"/>
    <x v="301"/>
    <x v="1"/>
    <x v="2"/>
    <x v="0"/>
    <x v="1"/>
    <s v="02"/>
    <n v="-0.16978776529338327"/>
    <x v="1"/>
  </r>
  <r>
    <s v="ORD100305"/>
    <s v="2024-11-21"/>
    <s v="Customer 140"/>
    <x v="0"/>
    <x v="4"/>
    <x v="2"/>
    <x v="8"/>
    <x v="20"/>
    <n v="2545.56"/>
    <n v="3"/>
    <x v="2"/>
    <x v="302"/>
    <x v="4"/>
    <x v="0"/>
    <x v="1"/>
    <x v="10"/>
    <s v="11"/>
    <n v="-5.4361319316771163E-2"/>
    <x v="1"/>
  </r>
  <r>
    <s v="ORD100306"/>
    <s v="2025-09-22"/>
    <s v="Customer 38"/>
    <x v="3"/>
    <x v="14"/>
    <x v="2"/>
    <x v="8"/>
    <x v="18"/>
    <n v="3423.44"/>
    <n v="8"/>
    <x v="1"/>
    <x v="303"/>
    <x v="0"/>
    <x v="1"/>
    <x v="0"/>
    <x v="5"/>
    <s v="09"/>
    <n v="-2.9236674222419556E-2"/>
    <x v="1"/>
  </r>
  <r>
    <s v="ORD100307"/>
    <s v="2024-04-03"/>
    <s v="Customer 175"/>
    <x v="2"/>
    <x v="6"/>
    <x v="2"/>
    <x v="8"/>
    <x v="12"/>
    <n v="5921.3"/>
    <n v="7"/>
    <x v="0"/>
    <x v="304"/>
    <x v="3"/>
    <x v="1"/>
    <x v="1"/>
    <x v="8"/>
    <s v="04"/>
    <n v="0.19509060510360901"/>
    <x v="0"/>
  </r>
  <r>
    <s v="ORD100308"/>
    <s v="2025-08-19"/>
    <s v="Customer 56"/>
    <x v="2"/>
    <x v="6"/>
    <x v="0"/>
    <x v="0"/>
    <x v="25"/>
    <n v="420.16"/>
    <n v="4"/>
    <x v="3"/>
    <x v="305"/>
    <x v="0"/>
    <x v="2"/>
    <x v="0"/>
    <x v="11"/>
    <s v="08"/>
    <n v="0.1278084539223153"/>
    <x v="2"/>
  </r>
  <r>
    <s v="ORD100309"/>
    <s v="2024-08-07"/>
    <s v="Customer 185"/>
    <x v="1"/>
    <x v="2"/>
    <x v="0"/>
    <x v="1"/>
    <x v="1"/>
    <n v="5047.3500000000004"/>
    <n v="7"/>
    <x v="0"/>
    <x v="306"/>
    <x v="1"/>
    <x v="0"/>
    <x v="1"/>
    <x v="11"/>
    <s v="08"/>
    <n v="0.40187028836914418"/>
    <x v="0"/>
  </r>
  <r>
    <s v="ORD100310"/>
    <s v="2025-10-08"/>
    <s v="Customer 195"/>
    <x v="2"/>
    <x v="10"/>
    <x v="1"/>
    <x v="3"/>
    <x v="5"/>
    <n v="997.61"/>
    <n v="1"/>
    <x v="1"/>
    <x v="307"/>
    <x v="3"/>
    <x v="3"/>
    <x v="0"/>
    <x v="2"/>
    <s v="10"/>
    <n v="0.16788123615440903"/>
    <x v="1"/>
  </r>
  <r>
    <s v="ORD100311"/>
    <s v="2024-05-05"/>
    <s v="Customer 88"/>
    <x v="2"/>
    <x v="3"/>
    <x v="0"/>
    <x v="2"/>
    <x v="2"/>
    <n v="1324.5"/>
    <n v="10"/>
    <x v="3"/>
    <x v="308"/>
    <x v="0"/>
    <x v="3"/>
    <x v="1"/>
    <x v="7"/>
    <s v="05"/>
    <n v="0.13483578708946772"/>
    <x v="2"/>
  </r>
  <r>
    <s v="ORD100312"/>
    <s v="2025-11-16"/>
    <s v="Customer 107"/>
    <x v="3"/>
    <x v="13"/>
    <x v="2"/>
    <x v="4"/>
    <x v="6"/>
    <n v="1904.13"/>
    <n v="9"/>
    <x v="3"/>
    <x v="309"/>
    <x v="6"/>
    <x v="2"/>
    <x v="0"/>
    <x v="10"/>
    <s v="11"/>
    <n v="0.22610851149868968"/>
    <x v="2"/>
  </r>
  <r>
    <s v="ORD100313"/>
    <s v="2024-07-11"/>
    <s v="Customer 161"/>
    <x v="0"/>
    <x v="0"/>
    <x v="1"/>
    <x v="7"/>
    <x v="9"/>
    <n v="6568.47"/>
    <n v="9"/>
    <x v="2"/>
    <x v="310"/>
    <x v="0"/>
    <x v="1"/>
    <x v="1"/>
    <x v="6"/>
    <s v="07"/>
    <n v="-3.3677553524641204E-2"/>
    <x v="1"/>
  </r>
  <r>
    <s v="ORD100314"/>
    <s v="2025-03-07"/>
    <s v="Customer 58"/>
    <x v="1"/>
    <x v="11"/>
    <x v="0"/>
    <x v="1"/>
    <x v="1"/>
    <n v="2341.0500000000002"/>
    <n v="5"/>
    <x v="3"/>
    <x v="311"/>
    <x v="9"/>
    <x v="3"/>
    <x v="0"/>
    <x v="3"/>
    <s v="03"/>
    <n v="6.8247154054804471E-2"/>
    <x v="2"/>
  </r>
  <r>
    <s v="ORD100315"/>
    <s v="2024-12-03"/>
    <s v="Customer 114"/>
    <x v="0"/>
    <x v="0"/>
    <x v="0"/>
    <x v="1"/>
    <x v="1"/>
    <n v="4523.76"/>
    <n v="4"/>
    <x v="6"/>
    <x v="312"/>
    <x v="7"/>
    <x v="1"/>
    <x v="1"/>
    <x v="4"/>
    <s v="12"/>
    <n v="0.12455125824535343"/>
    <x v="2"/>
  </r>
  <r>
    <s v="ORD100316"/>
    <s v="2025-08-15"/>
    <s v="Customer 140"/>
    <x v="0"/>
    <x v="7"/>
    <x v="0"/>
    <x v="0"/>
    <x v="25"/>
    <n v="1814.5"/>
    <n v="10"/>
    <x v="6"/>
    <x v="313"/>
    <x v="9"/>
    <x v="1"/>
    <x v="0"/>
    <x v="11"/>
    <s v="08"/>
    <n v="0.16239184348305319"/>
    <x v="2"/>
  </r>
  <r>
    <s v="ORD100317"/>
    <s v="2024-08-31"/>
    <s v="Customer 9"/>
    <x v="3"/>
    <x v="14"/>
    <x v="1"/>
    <x v="3"/>
    <x v="14"/>
    <n v="1793.56"/>
    <n v="4"/>
    <x v="1"/>
    <x v="314"/>
    <x v="3"/>
    <x v="3"/>
    <x v="1"/>
    <x v="11"/>
    <s v="08"/>
    <n v="0.13802716385289593"/>
    <x v="1"/>
  </r>
  <r>
    <s v="ORD100318"/>
    <s v="2025-12-31"/>
    <s v="Customer 99"/>
    <x v="2"/>
    <x v="3"/>
    <x v="0"/>
    <x v="2"/>
    <x v="2"/>
    <n v="9809"/>
    <n v="10"/>
    <x v="6"/>
    <x v="315"/>
    <x v="4"/>
    <x v="1"/>
    <x v="0"/>
    <x v="4"/>
    <s v="12"/>
    <n v="2.6611275359363848E-2"/>
    <x v="2"/>
  </r>
  <r>
    <s v="ORD100319"/>
    <s v="2025-05-12"/>
    <s v="Customer 71"/>
    <x v="0"/>
    <x v="0"/>
    <x v="1"/>
    <x v="5"/>
    <x v="24"/>
    <n v="6971.58"/>
    <n v="6"/>
    <x v="3"/>
    <x v="316"/>
    <x v="6"/>
    <x v="3"/>
    <x v="0"/>
    <x v="7"/>
    <s v="05"/>
    <n v="0.30869186038172125"/>
    <x v="2"/>
  </r>
  <r>
    <s v="ORD100320"/>
    <s v="2024-09-02"/>
    <s v="Customer 55"/>
    <x v="1"/>
    <x v="2"/>
    <x v="1"/>
    <x v="7"/>
    <x v="16"/>
    <n v="7682.58"/>
    <n v="9"/>
    <x v="2"/>
    <x v="317"/>
    <x v="3"/>
    <x v="2"/>
    <x v="1"/>
    <x v="5"/>
    <s v="09"/>
    <n v="1.5962085653517439E-2"/>
    <x v="1"/>
  </r>
  <r>
    <s v="ORD100321"/>
    <s v="2024-05-06"/>
    <s v="Customer 172"/>
    <x v="3"/>
    <x v="15"/>
    <x v="0"/>
    <x v="0"/>
    <x v="0"/>
    <n v="7173.18"/>
    <n v="7"/>
    <x v="5"/>
    <x v="318"/>
    <x v="5"/>
    <x v="1"/>
    <x v="1"/>
    <x v="7"/>
    <s v="05"/>
    <n v="8.1120228406369274E-2"/>
    <x v="3"/>
  </r>
  <r>
    <s v="ORD100322"/>
    <s v="2025-11-02"/>
    <s v="Customer 103"/>
    <x v="2"/>
    <x v="10"/>
    <x v="2"/>
    <x v="4"/>
    <x v="26"/>
    <n v="1282.68"/>
    <n v="9"/>
    <x v="1"/>
    <x v="319"/>
    <x v="4"/>
    <x v="3"/>
    <x v="0"/>
    <x v="10"/>
    <s v="11"/>
    <n v="1.5740480868182243E-2"/>
    <x v="1"/>
  </r>
  <r>
    <s v="ORD100323"/>
    <s v="2025-08-08"/>
    <s v="Customer 121"/>
    <x v="2"/>
    <x v="6"/>
    <x v="1"/>
    <x v="7"/>
    <x v="17"/>
    <n v="2711.88"/>
    <n v="9"/>
    <x v="0"/>
    <x v="320"/>
    <x v="8"/>
    <x v="1"/>
    <x v="0"/>
    <x v="11"/>
    <s v="08"/>
    <n v="0.12901013319173416"/>
    <x v="0"/>
  </r>
  <r>
    <s v="ORD100324"/>
    <s v="2024-08-03"/>
    <s v="Customer 135"/>
    <x v="2"/>
    <x v="3"/>
    <x v="0"/>
    <x v="0"/>
    <x v="22"/>
    <n v="605.46"/>
    <n v="6"/>
    <x v="3"/>
    <x v="321"/>
    <x v="2"/>
    <x v="0"/>
    <x v="1"/>
    <x v="11"/>
    <s v="08"/>
    <n v="0.16945793281141611"/>
    <x v="2"/>
  </r>
  <r>
    <s v="ORD100325"/>
    <s v="2025-06-16"/>
    <s v="Customer 153"/>
    <x v="3"/>
    <x v="14"/>
    <x v="2"/>
    <x v="4"/>
    <x v="10"/>
    <n v="4686.57"/>
    <n v="7"/>
    <x v="4"/>
    <x v="322"/>
    <x v="2"/>
    <x v="2"/>
    <x v="0"/>
    <x v="9"/>
    <s v="06"/>
    <n v="0.19455166571714497"/>
    <x v="3"/>
  </r>
  <r>
    <s v="ORD100326"/>
    <s v="2024-03-07"/>
    <s v="Customer 23"/>
    <x v="2"/>
    <x v="6"/>
    <x v="0"/>
    <x v="0"/>
    <x v="22"/>
    <n v="6021.1"/>
    <n v="10"/>
    <x v="1"/>
    <x v="323"/>
    <x v="9"/>
    <x v="0"/>
    <x v="1"/>
    <x v="3"/>
    <s v="03"/>
    <n v="0.18205809569679959"/>
    <x v="1"/>
  </r>
  <r>
    <s v="ORD100327"/>
    <s v="2024-08-08"/>
    <s v="Customer 85"/>
    <x v="3"/>
    <x v="15"/>
    <x v="1"/>
    <x v="3"/>
    <x v="14"/>
    <n v="2159.2199999999998"/>
    <n v="2"/>
    <x v="3"/>
    <x v="324"/>
    <x v="4"/>
    <x v="2"/>
    <x v="1"/>
    <x v="11"/>
    <s v="08"/>
    <n v="-4.3761173016181772E-2"/>
    <x v="2"/>
  </r>
  <r>
    <s v="ORD100328"/>
    <s v="2025-09-16"/>
    <s v="Customer 74"/>
    <x v="1"/>
    <x v="2"/>
    <x v="1"/>
    <x v="3"/>
    <x v="5"/>
    <n v="130.15"/>
    <n v="1"/>
    <x v="1"/>
    <x v="325"/>
    <x v="7"/>
    <x v="2"/>
    <x v="0"/>
    <x v="5"/>
    <s v="09"/>
    <n v="4.5946984248943529E-2"/>
    <x v="1"/>
  </r>
  <r>
    <s v="ORD100329"/>
    <s v="2024-07-31"/>
    <s v="Customer 29"/>
    <x v="1"/>
    <x v="2"/>
    <x v="1"/>
    <x v="7"/>
    <x v="9"/>
    <n v="4889.04"/>
    <n v="8"/>
    <x v="5"/>
    <x v="326"/>
    <x v="0"/>
    <x v="1"/>
    <x v="1"/>
    <x v="6"/>
    <s v="07"/>
    <n v="-3.767815358434376E-2"/>
    <x v="3"/>
  </r>
  <r>
    <s v="ORD100330"/>
    <s v="2025-12-16"/>
    <s v="Customer 74"/>
    <x v="2"/>
    <x v="6"/>
    <x v="1"/>
    <x v="5"/>
    <x v="15"/>
    <n v="5888.55"/>
    <n v="5"/>
    <x v="1"/>
    <x v="327"/>
    <x v="9"/>
    <x v="3"/>
    <x v="0"/>
    <x v="4"/>
    <s v="12"/>
    <n v="-0.18607636854573706"/>
    <x v="1"/>
  </r>
  <r>
    <s v="ORD100331"/>
    <s v="2025-06-24"/>
    <s v="Customer 179"/>
    <x v="2"/>
    <x v="8"/>
    <x v="2"/>
    <x v="8"/>
    <x v="12"/>
    <n v="756.2"/>
    <n v="2"/>
    <x v="5"/>
    <x v="328"/>
    <x v="2"/>
    <x v="1"/>
    <x v="0"/>
    <x v="9"/>
    <s v="06"/>
    <n v="-1.057921184871727E-4"/>
    <x v="3"/>
  </r>
  <r>
    <s v="ORD100332"/>
    <s v="2024-12-20"/>
    <s v="Customer 118"/>
    <x v="2"/>
    <x v="6"/>
    <x v="0"/>
    <x v="2"/>
    <x v="2"/>
    <n v="141.30000000000001"/>
    <n v="2"/>
    <x v="3"/>
    <x v="329"/>
    <x v="0"/>
    <x v="2"/>
    <x v="1"/>
    <x v="4"/>
    <s v="12"/>
    <n v="0.15810332625619247"/>
    <x v="2"/>
  </r>
  <r>
    <s v="ORD100333"/>
    <s v="2025-09-02"/>
    <s v="Customer 182"/>
    <x v="0"/>
    <x v="7"/>
    <x v="0"/>
    <x v="2"/>
    <x v="11"/>
    <n v="1272.1199999999999"/>
    <n v="6"/>
    <x v="2"/>
    <x v="330"/>
    <x v="2"/>
    <x v="0"/>
    <x v="0"/>
    <x v="5"/>
    <s v="09"/>
    <n v="-0.16354589189699087"/>
    <x v="1"/>
  </r>
  <r>
    <s v="ORD100334"/>
    <s v="2024-05-28"/>
    <s v="Customer 19"/>
    <x v="3"/>
    <x v="12"/>
    <x v="0"/>
    <x v="0"/>
    <x v="25"/>
    <n v="2941.89"/>
    <n v="3"/>
    <x v="4"/>
    <x v="331"/>
    <x v="4"/>
    <x v="1"/>
    <x v="1"/>
    <x v="7"/>
    <s v="05"/>
    <n v="0.13646669318023449"/>
    <x v="3"/>
  </r>
  <r>
    <s v="ORD100335"/>
    <s v="2024-07-20"/>
    <s v="Customer 9"/>
    <x v="2"/>
    <x v="10"/>
    <x v="0"/>
    <x v="2"/>
    <x v="21"/>
    <n v="5631"/>
    <n v="6"/>
    <x v="5"/>
    <x v="332"/>
    <x v="2"/>
    <x v="3"/>
    <x v="1"/>
    <x v="6"/>
    <s v="07"/>
    <n v="0.22516604510744095"/>
    <x v="3"/>
  </r>
  <r>
    <s v="ORD100336"/>
    <s v="2024-10-28"/>
    <s v="Customer 147"/>
    <x v="3"/>
    <x v="12"/>
    <x v="2"/>
    <x v="8"/>
    <x v="20"/>
    <n v="1340.43"/>
    <n v="7"/>
    <x v="4"/>
    <x v="333"/>
    <x v="6"/>
    <x v="0"/>
    <x v="1"/>
    <x v="2"/>
    <s v="10"/>
    <n v="4.8066665174608149E-2"/>
    <x v="3"/>
  </r>
  <r>
    <s v="ORD100337"/>
    <s v="2025-04-21"/>
    <s v="Customer 30"/>
    <x v="1"/>
    <x v="2"/>
    <x v="0"/>
    <x v="0"/>
    <x v="25"/>
    <n v="11019.7"/>
    <n v="10"/>
    <x v="6"/>
    <x v="334"/>
    <x v="7"/>
    <x v="0"/>
    <x v="0"/>
    <x v="8"/>
    <s v="04"/>
    <n v="0.29520767353013239"/>
    <x v="2"/>
  </r>
  <r>
    <s v="ORD100338"/>
    <s v="2025-05-04"/>
    <s v="Customer 48"/>
    <x v="0"/>
    <x v="4"/>
    <x v="2"/>
    <x v="6"/>
    <x v="23"/>
    <n v="10230"/>
    <n v="10"/>
    <x v="2"/>
    <x v="335"/>
    <x v="1"/>
    <x v="2"/>
    <x v="0"/>
    <x v="7"/>
    <s v="05"/>
    <n v="-0.19099120234604106"/>
    <x v="1"/>
  </r>
  <r>
    <s v="ORD100339"/>
    <s v="2024-09-30"/>
    <s v="Customer 68"/>
    <x v="3"/>
    <x v="12"/>
    <x v="2"/>
    <x v="4"/>
    <x v="10"/>
    <n v="3400.11"/>
    <n v="9"/>
    <x v="5"/>
    <x v="336"/>
    <x v="5"/>
    <x v="0"/>
    <x v="1"/>
    <x v="5"/>
    <s v="09"/>
    <n v="0.25708874124660669"/>
    <x v="3"/>
  </r>
  <r>
    <s v="ORD100340"/>
    <s v="2024-07-31"/>
    <s v="Customer 34"/>
    <x v="0"/>
    <x v="7"/>
    <x v="2"/>
    <x v="6"/>
    <x v="23"/>
    <n v="519.08000000000004"/>
    <n v="2"/>
    <x v="6"/>
    <x v="337"/>
    <x v="1"/>
    <x v="2"/>
    <x v="1"/>
    <x v="6"/>
    <s v="07"/>
    <n v="0.31118517376897586"/>
    <x v="2"/>
  </r>
  <r>
    <s v="ORD100341"/>
    <s v="2024-10-18"/>
    <s v="Customer 15"/>
    <x v="0"/>
    <x v="7"/>
    <x v="1"/>
    <x v="7"/>
    <x v="9"/>
    <n v="936.74"/>
    <n v="2"/>
    <x v="1"/>
    <x v="338"/>
    <x v="5"/>
    <x v="2"/>
    <x v="1"/>
    <x v="2"/>
    <s v="10"/>
    <n v="5.3718214232337684E-2"/>
    <x v="1"/>
  </r>
  <r>
    <s v="ORD100342"/>
    <s v="2024-09-29"/>
    <s v="Customer 36"/>
    <x v="3"/>
    <x v="14"/>
    <x v="0"/>
    <x v="1"/>
    <x v="19"/>
    <n v="3373.92"/>
    <n v="3"/>
    <x v="2"/>
    <x v="339"/>
    <x v="7"/>
    <x v="3"/>
    <x v="1"/>
    <x v="5"/>
    <s v="09"/>
    <n v="-8.6807037511262855E-2"/>
    <x v="1"/>
  </r>
  <r>
    <s v="ORD100343"/>
    <s v="2025-09-09"/>
    <s v="Customer 190"/>
    <x v="3"/>
    <x v="14"/>
    <x v="2"/>
    <x v="4"/>
    <x v="6"/>
    <n v="864.71"/>
    <n v="7"/>
    <x v="6"/>
    <x v="340"/>
    <x v="6"/>
    <x v="1"/>
    <x v="0"/>
    <x v="5"/>
    <s v="09"/>
    <n v="0.19804327462386231"/>
    <x v="2"/>
  </r>
  <r>
    <s v="ORD100344"/>
    <s v="2025-01-14"/>
    <s v="Customer 161"/>
    <x v="2"/>
    <x v="8"/>
    <x v="1"/>
    <x v="3"/>
    <x v="14"/>
    <n v="9461.0400000000009"/>
    <n v="8"/>
    <x v="6"/>
    <x v="341"/>
    <x v="7"/>
    <x v="0"/>
    <x v="0"/>
    <x v="0"/>
    <s v="01"/>
    <n v="0.38017807767433598"/>
    <x v="2"/>
  </r>
  <r>
    <s v="ORD100345"/>
    <s v="2024-08-23"/>
    <s v="Customer 12"/>
    <x v="1"/>
    <x v="1"/>
    <x v="0"/>
    <x v="0"/>
    <x v="0"/>
    <n v="706.32"/>
    <n v="6"/>
    <x v="5"/>
    <x v="342"/>
    <x v="5"/>
    <x v="0"/>
    <x v="1"/>
    <x v="11"/>
    <s v="08"/>
    <n v="0.24842847434590551"/>
    <x v="3"/>
  </r>
  <r>
    <s v="ORD100346"/>
    <s v="2025-04-08"/>
    <s v="Customer 1"/>
    <x v="2"/>
    <x v="6"/>
    <x v="2"/>
    <x v="4"/>
    <x v="6"/>
    <n v="617.46"/>
    <n v="3"/>
    <x v="6"/>
    <x v="343"/>
    <x v="3"/>
    <x v="0"/>
    <x v="0"/>
    <x v="8"/>
    <s v="04"/>
    <n v="0.19157516276357983"/>
    <x v="2"/>
  </r>
  <r>
    <s v="ORD100347"/>
    <s v="2025-08-11"/>
    <s v="Customer 51"/>
    <x v="2"/>
    <x v="8"/>
    <x v="2"/>
    <x v="4"/>
    <x v="26"/>
    <n v="5789.45"/>
    <n v="5"/>
    <x v="4"/>
    <x v="344"/>
    <x v="3"/>
    <x v="2"/>
    <x v="0"/>
    <x v="11"/>
    <s v="08"/>
    <n v="-7.639240342346855E-2"/>
    <x v="3"/>
  </r>
  <r>
    <s v="ORD100348"/>
    <s v="2025-12-01"/>
    <s v="Customer 147"/>
    <x v="3"/>
    <x v="15"/>
    <x v="0"/>
    <x v="0"/>
    <x v="0"/>
    <n v="71.16"/>
    <n v="1"/>
    <x v="4"/>
    <x v="345"/>
    <x v="4"/>
    <x v="1"/>
    <x v="0"/>
    <x v="4"/>
    <s v="12"/>
    <n v="-0.12717818999437888"/>
    <x v="3"/>
  </r>
  <r>
    <s v="ORD100349"/>
    <s v="2025-12-28"/>
    <s v="Customer 65"/>
    <x v="3"/>
    <x v="12"/>
    <x v="0"/>
    <x v="0"/>
    <x v="22"/>
    <n v="1045.19"/>
    <n v="1"/>
    <x v="0"/>
    <x v="346"/>
    <x v="3"/>
    <x v="3"/>
    <x v="0"/>
    <x v="4"/>
    <s v="12"/>
    <n v="0.25006936537854363"/>
    <x v="0"/>
  </r>
  <r>
    <s v="ORD100350"/>
    <s v="2024-06-27"/>
    <s v="Customer 54"/>
    <x v="0"/>
    <x v="9"/>
    <x v="1"/>
    <x v="5"/>
    <x v="15"/>
    <n v="206.46"/>
    <n v="6"/>
    <x v="0"/>
    <x v="347"/>
    <x v="3"/>
    <x v="3"/>
    <x v="1"/>
    <x v="9"/>
    <s v="06"/>
    <n v="0.43165746391552845"/>
    <x v="0"/>
  </r>
  <r>
    <s v="ORD100351"/>
    <s v="2025-12-28"/>
    <s v="Customer 147"/>
    <x v="2"/>
    <x v="6"/>
    <x v="0"/>
    <x v="2"/>
    <x v="21"/>
    <n v="262.68"/>
    <n v="4"/>
    <x v="3"/>
    <x v="348"/>
    <x v="2"/>
    <x v="0"/>
    <x v="0"/>
    <x v="4"/>
    <s v="12"/>
    <n v="0.31806761078117862"/>
    <x v="2"/>
  </r>
  <r>
    <s v="ORD100352"/>
    <s v="2025-10-05"/>
    <s v="Customer 171"/>
    <x v="3"/>
    <x v="15"/>
    <x v="2"/>
    <x v="4"/>
    <x v="10"/>
    <n v="4052.93"/>
    <n v="7"/>
    <x v="2"/>
    <x v="349"/>
    <x v="5"/>
    <x v="0"/>
    <x v="0"/>
    <x v="2"/>
    <s v="10"/>
    <n v="6.2505397329832985E-2"/>
    <x v="1"/>
  </r>
  <r>
    <s v="ORD100353"/>
    <s v="2024-01-19"/>
    <s v="Customer 160"/>
    <x v="1"/>
    <x v="2"/>
    <x v="2"/>
    <x v="8"/>
    <x v="12"/>
    <n v="3228.66"/>
    <n v="9"/>
    <x v="3"/>
    <x v="350"/>
    <x v="6"/>
    <x v="1"/>
    <x v="1"/>
    <x v="0"/>
    <s v="01"/>
    <n v="0.14491151127712426"/>
    <x v="2"/>
  </r>
  <r>
    <s v="ORD100354"/>
    <s v="2024-02-17"/>
    <s v="Customer 192"/>
    <x v="1"/>
    <x v="5"/>
    <x v="2"/>
    <x v="6"/>
    <x v="13"/>
    <n v="4011.66"/>
    <n v="6"/>
    <x v="1"/>
    <x v="351"/>
    <x v="4"/>
    <x v="1"/>
    <x v="1"/>
    <x v="1"/>
    <s v="02"/>
    <n v="-0.18584077414337208"/>
    <x v="1"/>
  </r>
  <r>
    <s v="ORD100355"/>
    <s v="2024-10-06"/>
    <s v="Customer 71"/>
    <x v="2"/>
    <x v="6"/>
    <x v="1"/>
    <x v="3"/>
    <x v="14"/>
    <n v="420.4"/>
    <n v="4"/>
    <x v="3"/>
    <x v="352"/>
    <x v="7"/>
    <x v="0"/>
    <x v="1"/>
    <x v="2"/>
    <s v="10"/>
    <n v="0.18993815413891532"/>
    <x v="2"/>
  </r>
  <r>
    <s v="ORD100356"/>
    <s v="2025-09-02"/>
    <s v="Customer 138"/>
    <x v="1"/>
    <x v="11"/>
    <x v="1"/>
    <x v="7"/>
    <x v="9"/>
    <n v="3379.98"/>
    <n v="3"/>
    <x v="4"/>
    <x v="353"/>
    <x v="4"/>
    <x v="0"/>
    <x v="0"/>
    <x v="5"/>
    <s v="09"/>
    <n v="-3.9056444120971125E-2"/>
    <x v="3"/>
  </r>
  <r>
    <s v="ORD100357"/>
    <s v="2025-01-28"/>
    <s v="Customer 45"/>
    <x v="3"/>
    <x v="12"/>
    <x v="1"/>
    <x v="5"/>
    <x v="24"/>
    <n v="9321.2000000000007"/>
    <n v="10"/>
    <x v="2"/>
    <x v="354"/>
    <x v="9"/>
    <x v="0"/>
    <x v="0"/>
    <x v="0"/>
    <s v="01"/>
    <n v="-0.23956893962150796"/>
    <x v="1"/>
  </r>
  <r>
    <s v="ORD100358"/>
    <s v="2025-06-16"/>
    <s v="Customer 132"/>
    <x v="1"/>
    <x v="2"/>
    <x v="0"/>
    <x v="0"/>
    <x v="25"/>
    <n v="1562.48"/>
    <n v="8"/>
    <x v="0"/>
    <x v="355"/>
    <x v="0"/>
    <x v="1"/>
    <x v="0"/>
    <x v="9"/>
    <s v="06"/>
    <n v="0.35175490246275154"/>
    <x v="0"/>
  </r>
  <r>
    <s v="ORD100359"/>
    <s v="2025-02-03"/>
    <s v="Customer 175"/>
    <x v="2"/>
    <x v="3"/>
    <x v="1"/>
    <x v="3"/>
    <x v="4"/>
    <n v="11197.8"/>
    <n v="10"/>
    <x v="2"/>
    <x v="356"/>
    <x v="0"/>
    <x v="3"/>
    <x v="0"/>
    <x v="1"/>
    <s v="02"/>
    <n v="-9.5000803729303977E-3"/>
    <x v="1"/>
  </r>
  <r>
    <s v="ORD100360"/>
    <s v="2024-03-28"/>
    <s v="Customer 61"/>
    <x v="2"/>
    <x v="8"/>
    <x v="0"/>
    <x v="2"/>
    <x v="11"/>
    <n v="190.44"/>
    <n v="6"/>
    <x v="0"/>
    <x v="357"/>
    <x v="4"/>
    <x v="1"/>
    <x v="1"/>
    <x v="3"/>
    <s v="03"/>
    <n v="0.22757823986557449"/>
    <x v="0"/>
  </r>
  <r>
    <s v="ORD100361"/>
    <s v="2024-04-09"/>
    <s v="Customer 154"/>
    <x v="0"/>
    <x v="4"/>
    <x v="0"/>
    <x v="2"/>
    <x v="11"/>
    <n v="6080.85"/>
    <n v="9"/>
    <x v="3"/>
    <x v="358"/>
    <x v="1"/>
    <x v="0"/>
    <x v="1"/>
    <x v="8"/>
    <s v="04"/>
    <n v="1.3223480270028037E-2"/>
    <x v="2"/>
  </r>
  <r>
    <s v="ORD100362"/>
    <s v="2024-03-23"/>
    <s v="Customer 119"/>
    <x v="2"/>
    <x v="3"/>
    <x v="0"/>
    <x v="2"/>
    <x v="21"/>
    <n v="920.82"/>
    <n v="3"/>
    <x v="5"/>
    <x v="359"/>
    <x v="6"/>
    <x v="3"/>
    <x v="1"/>
    <x v="3"/>
    <s v="03"/>
    <n v="-6.555027041115527E-2"/>
    <x v="3"/>
  </r>
  <r>
    <s v="ORD100363"/>
    <s v="2025-04-16"/>
    <s v="Customer 22"/>
    <x v="1"/>
    <x v="11"/>
    <x v="2"/>
    <x v="8"/>
    <x v="18"/>
    <n v="4115.1000000000004"/>
    <n v="5"/>
    <x v="2"/>
    <x v="360"/>
    <x v="4"/>
    <x v="2"/>
    <x v="0"/>
    <x v="8"/>
    <s v="04"/>
    <n v="-0.18618259580569121"/>
    <x v="1"/>
  </r>
  <r>
    <s v="ORD100364"/>
    <s v="2024-05-13"/>
    <s v="Customer 45"/>
    <x v="2"/>
    <x v="10"/>
    <x v="2"/>
    <x v="6"/>
    <x v="13"/>
    <n v="77.81"/>
    <n v="1"/>
    <x v="0"/>
    <x v="361"/>
    <x v="1"/>
    <x v="2"/>
    <x v="1"/>
    <x v="7"/>
    <s v="05"/>
    <n v="0.42051150237758639"/>
    <x v="0"/>
  </r>
  <r>
    <s v="ORD100365"/>
    <s v="2025-06-07"/>
    <s v="Customer 80"/>
    <x v="1"/>
    <x v="2"/>
    <x v="0"/>
    <x v="1"/>
    <x v="1"/>
    <n v="5690.16"/>
    <n v="8"/>
    <x v="6"/>
    <x v="362"/>
    <x v="9"/>
    <x v="3"/>
    <x v="0"/>
    <x v="9"/>
    <s v="06"/>
    <n v="4.1543647278811137E-2"/>
    <x v="2"/>
  </r>
  <r>
    <s v="ORD100366"/>
    <s v="2024-08-04"/>
    <s v="Customer 35"/>
    <x v="0"/>
    <x v="9"/>
    <x v="0"/>
    <x v="1"/>
    <x v="3"/>
    <n v="2428.11"/>
    <n v="9"/>
    <x v="3"/>
    <x v="363"/>
    <x v="5"/>
    <x v="2"/>
    <x v="1"/>
    <x v="11"/>
    <s v="08"/>
    <n v="0.33444119088509167"/>
    <x v="2"/>
  </r>
  <r>
    <s v="ORD100367"/>
    <s v="2025-06-09"/>
    <s v="Customer 113"/>
    <x v="2"/>
    <x v="6"/>
    <x v="2"/>
    <x v="6"/>
    <x v="8"/>
    <n v="4051.74"/>
    <n v="7"/>
    <x v="4"/>
    <x v="364"/>
    <x v="0"/>
    <x v="3"/>
    <x v="0"/>
    <x v="9"/>
    <s v="06"/>
    <n v="0.21940697083228441"/>
    <x v="3"/>
  </r>
  <r>
    <s v="ORD100368"/>
    <s v="2024-10-23"/>
    <s v="Customer 197"/>
    <x v="1"/>
    <x v="2"/>
    <x v="1"/>
    <x v="5"/>
    <x v="15"/>
    <n v="1722.35"/>
    <n v="5"/>
    <x v="6"/>
    <x v="365"/>
    <x v="7"/>
    <x v="1"/>
    <x v="1"/>
    <x v="2"/>
    <s v="10"/>
    <n v="0.3396580253723111"/>
    <x v="2"/>
  </r>
  <r>
    <s v="ORD100369"/>
    <s v="2025-10-24"/>
    <s v="Customer 161"/>
    <x v="1"/>
    <x v="2"/>
    <x v="0"/>
    <x v="1"/>
    <x v="3"/>
    <n v="2599"/>
    <n v="4"/>
    <x v="1"/>
    <x v="366"/>
    <x v="6"/>
    <x v="3"/>
    <x v="0"/>
    <x v="2"/>
    <s v="10"/>
    <n v="-7.7245094267025777E-2"/>
    <x v="1"/>
  </r>
  <r>
    <s v="ORD100370"/>
    <s v="2025-12-06"/>
    <s v="Customer 107"/>
    <x v="2"/>
    <x v="10"/>
    <x v="2"/>
    <x v="6"/>
    <x v="23"/>
    <n v="776.03"/>
    <n v="1"/>
    <x v="6"/>
    <x v="367"/>
    <x v="4"/>
    <x v="2"/>
    <x v="0"/>
    <x v="4"/>
    <s v="12"/>
    <n v="7.3888896047833205E-2"/>
    <x v="2"/>
  </r>
  <r>
    <s v="ORD100371"/>
    <s v="2025-04-24"/>
    <s v="Customer 130"/>
    <x v="1"/>
    <x v="1"/>
    <x v="1"/>
    <x v="5"/>
    <x v="15"/>
    <n v="1129.81"/>
    <n v="1"/>
    <x v="4"/>
    <x v="368"/>
    <x v="5"/>
    <x v="3"/>
    <x v="0"/>
    <x v="8"/>
    <s v="04"/>
    <n v="4.5759906532956869E-3"/>
    <x v="3"/>
  </r>
  <r>
    <s v="ORD100372"/>
    <s v="2024-09-16"/>
    <s v="Customer 66"/>
    <x v="3"/>
    <x v="14"/>
    <x v="2"/>
    <x v="4"/>
    <x v="6"/>
    <n v="1094.04"/>
    <n v="1"/>
    <x v="3"/>
    <x v="369"/>
    <x v="2"/>
    <x v="0"/>
    <x v="1"/>
    <x v="5"/>
    <s v="09"/>
    <n v="-3.0465065262696062E-2"/>
    <x v="2"/>
  </r>
  <r>
    <s v="ORD100373"/>
    <s v="2025-04-17"/>
    <s v="Customer 22"/>
    <x v="3"/>
    <x v="13"/>
    <x v="1"/>
    <x v="5"/>
    <x v="15"/>
    <n v="4809.6000000000004"/>
    <n v="9"/>
    <x v="2"/>
    <x v="370"/>
    <x v="5"/>
    <x v="2"/>
    <x v="0"/>
    <x v="8"/>
    <s v="04"/>
    <n v="-2.6567697937458414E-2"/>
    <x v="1"/>
  </r>
  <r>
    <s v="ORD100374"/>
    <s v="2024-02-23"/>
    <s v="Customer 105"/>
    <x v="1"/>
    <x v="11"/>
    <x v="2"/>
    <x v="6"/>
    <x v="23"/>
    <n v="1902.42"/>
    <n v="9"/>
    <x v="4"/>
    <x v="371"/>
    <x v="7"/>
    <x v="3"/>
    <x v="1"/>
    <x v="1"/>
    <s v="02"/>
    <n v="1.6300291208040284E-2"/>
    <x v="3"/>
  </r>
  <r>
    <s v="ORD100375"/>
    <s v="2025-11-29"/>
    <s v="Customer 14"/>
    <x v="1"/>
    <x v="1"/>
    <x v="2"/>
    <x v="4"/>
    <x v="26"/>
    <n v="4467.6000000000004"/>
    <n v="4"/>
    <x v="2"/>
    <x v="372"/>
    <x v="6"/>
    <x v="1"/>
    <x v="0"/>
    <x v="10"/>
    <s v="11"/>
    <n v="-0.19980302623332435"/>
    <x v="1"/>
  </r>
  <r>
    <s v="ORD100376"/>
    <s v="2024-07-19"/>
    <s v="Customer 2"/>
    <x v="1"/>
    <x v="2"/>
    <x v="0"/>
    <x v="2"/>
    <x v="21"/>
    <n v="5519.1"/>
    <n v="5"/>
    <x v="2"/>
    <x v="373"/>
    <x v="6"/>
    <x v="1"/>
    <x v="1"/>
    <x v="6"/>
    <s v="07"/>
    <n v="-0.12681234259208929"/>
    <x v="1"/>
  </r>
  <r>
    <s v="ORD100377"/>
    <s v="2024-09-02"/>
    <s v="Customer 75"/>
    <x v="1"/>
    <x v="5"/>
    <x v="2"/>
    <x v="8"/>
    <x v="20"/>
    <n v="927.51"/>
    <n v="1"/>
    <x v="6"/>
    <x v="374"/>
    <x v="1"/>
    <x v="0"/>
    <x v="1"/>
    <x v="5"/>
    <s v="09"/>
    <n v="0.17900615626785696"/>
    <x v="2"/>
  </r>
  <r>
    <s v="ORD100378"/>
    <s v="2024-12-07"/>
    <s v="Customer 61"/>
    <x v="1"/>
    <x v="2"/>
    <x v="1"/>
    <x v="3"/>
    <x v="4"/>
    <n v="1457.25"/>
    <n v="5"/>
    <x v="6"/>
    <x v="375"/>
    <x v="2"/>
    <x v="3"/>
    <x v="1"/>
    <x v="4"/>
    <s v="12"/>
    <n v="0.22450506090238465"/>
    <x v="2"/>
  </r>
  <r>
    <s v="ORD100379"/>
    <s v="2025-07-19"/>
    <s v="Customer 60"/>
    <x v="2"/>
    <x v="6"/>
    <x v="2"/>
    <x v="4"/>
    <x v="6"/>
    <n v="3953.94"/>
    <n v="6"/>
    <x v="0"/>
    <x v="376"/>
    <x v="5"/>
    <x v="2"/>
    <x v="0"/>
    <x v="6"/>
    <s v="07"/>
    <n v="0.36736015215203061"/>
    <x v="0"/>
  </r>
  <r>
    <s v="ORD100380"/>
    <s v="2025-12-17"/>
    <s v="Customer 154"/>
    <x v="1"/>
    <x v="1"/>
    <x v="1"/>
    <x v="5"/>
    <x v="7"/>
    <n v="9544.32"/>
    <n v="9"/>
    <x v="0"/>
    <x v="377"/>
    <x v="9"/>
    <x v="2"/>
    <x v="0"/>
    <x v="4"/>
    <s v="12"/>
    <n v="0.40213865419432709"/>
    <x v="0"/>
  </r>
  <r>
    <s v="ORD100381"/>
    <s v="2025-05-26"/>
    <s v="Customer 190"/>
    <x v="0"/>
    <x v="7"/>
    <x v="2"/>
    <x v="8"/>
    <x v="12"/>
    <n v="1246"/>
    <n v="2"/>
    <x v="0"/>
    <x v="378"/>
    <x v="2"/>
    <x v="2"/>
    <x v="0"/>
    <x v="7"/>
    <s v="05"/>
    <n v="0.43816211878009637"/>
    <x v="0"/>
  </r>
  <r>
    <s v="ORD100382"/>
    <s v="2025-06-29"/>
    <s v="Customer 135"/>
    <x v="3"/>
    <x v="14"/>
    <x v="2"/>
    <x v="6"/>
    <x v="23"/>
    <n v="2544.9899999999998"/>
    <n v="7"/>
    <x v="0"/>
    <x v="379"/>
    <x v="0"/>
    <x v="2"/>
    <x v="0"/>
    <x v="9"/>
    <s v="06"/>
    <n v="9.5462064683947676E-2"/>
    <x v="0"/>
  </r>
  <r>
    <s v="ORD100383"/>
    <s v="2024-01-26"/>
    <s v="Customer 54"/>
    <x v="2"/>
    <x v="10"/>
    <x v="2"/>
    <x v="6"/>
    <x v="23"/>
    <n v="7918.6"/>
    <n v="10"/>
    <x v="0"/>
    <x v="380"/>
    <x v="0"/>
    <x v="0"/>
    <x v="1"/>
    <x v="0"/>
    <s v="01"/>
    <n v="0.44844922082186245"/>
    <x v="0"/>
  </r>
  <r>
    <s v="ORD100384"/>
    <s v="2024-10-09"/>
    <s v="Customer 185"/>
    <x v="1"/>
    <x v="5"/>
    <x v="2"/>
    <x v="8"/>
    <x v="18"/>
    <n v="6563.6"/>
    <n v="8"/>
    <x v="2"/>
    <x v="381"/>
    <x v="1"/>
    <x v="1"/>
    <x v="1"/>
    <x v="2"/>
    <s v="10"/>
    <n v="6.6311170699006647E-2"/>
    <x v="1"/>
  </r>
  <r>
    <s v="ORD100385"/>
    <s v="2024-07-20"/>
    <s v="Customer 187"/>
    <x v="3"/>
    <x v="13"/>
    <x v="1"/>
    <x v="7"/>
    <x v="16"/>
    <n v="619.22"/>
    <n v="1"/>
    <x v="4"/>
    <x v="382"/>
    <x v="6"/>
    <x v="3"/>
    <x v="1"/>
    <x v="6"/>
    <s v="07"/>
    <n v="0.1492199864345467"/>
    <x v="3"/>
  </r>
  <r>
    <s v="ORD100386"/>
    <s v="2024-06-22"/>
    <s v="Customer 43"/>
    <x v="1"/>
    <x v="2"/>
    <x v="0"/>
    <x v="1"/>
    <x v="1"/>
    <n v="1987.6"/>
    <n v="4"/>
    <x v="2"/>
    <x v="383"/>
    <x v="6"/>
    <x v="1"/>
    <x v="1"/>
    <x v="9"/>
    <s v="06"/>
    <n v="-2.3400080499094384E-2"/>
    <x v="1"/>
  </r>
  <r>
    <s v="ORD100387"/>
    <s v="2024-01-02"/>
    <s v="Customer 153"/>
    <x v="1"/>
    <x v="2"/>
    <x v="0"/>
    <x v="2"/>
    <x v="21"/>
    <n v="2743.74"/>
    <n v="3"/>
    <x v="2"/>
    <x v="384"/>
    <x v="5"/>
    <x v="0"/>
    <x v="1"/>
    <x v="0"/>
    <s v="01"/>
    <n v="0.11679313637589568"/>
    <x v="1"/>
  </r>
  <r>
    <s v="ORD100388"/>
    <s v="2025-01-21"/>
    <s v="Customer 196"/>
    <x v="3"/>
    <x v="15"/>
    <x v="1"/>
    <x v="5"/>
    <x v="24"/>
    <n v="4763.9399999999996"/>
    <n v="6"/>
    <x v="1"/>
    <x v="385"/>
    <x v="0"/>
    <x v="0"/>
    <x v="0"/>
    <x v="0"/>
    <s v="01"/>
    <n v="-6.5286296636817426E-2"/>
    <x v="1"/>
  </r>
  <r>
    <s v="ORD100389"/>
    <s v="2025-04-27"/>
    <s v="Customer 40"/>
    <x v="0"/>
    <x v="9"/>
    <x v="0"/>
    <x v="1"/>
    <x v="3"/>
    <n v="4875.7"/>
    <n v="5"/>
    <x v="1"/>
    <x v="386"/>
    <x v="2"/>
    <x v="2"/>
    <x v="0"/>
    <x v="8"/>
    <s v="04"/>
    <n v="6.4409213036076884E-2"/>
    <x v="1"/>
  </r>
  <r>
    <s v="ORD100390"/>
    <s v="2024-04-10"/>
    <s v="Customer 120"/>
    <x v="0"/>
    <x v="4"/>
    <x v="2"/>
    <x v="8"/>
    <x v="12"/>
    <n v="11977.1"/>
    <n v="10"/>
    <x v="0"/>
    <x v="387"/>
    <x v="5"/>
    <x v="1"/>
    <x v="1"/>
    <x v="8"/>
    <s v="04"/>
    <n v="9.3518464402902193E-2"/>
    <x v="0"/>
  </r>
  <r>
    <s v="ORD100391"/>
    <s v="2025-06-25"/>
    <s v="Customer 70"/>
    <x v="2"/>
    <x v="8"/>
    <x v="0"/>
    <x v="2"/>
    <x v="11"/>
    <n v="222.84"/>
    <n v="3"/>
    <x v="4"/>
    <x v="388"/>
    <x v="4"/>
    <x v="2"/>
    <x v="0"/>
    <x v="9"/>
    <s v="06"/>
    <n v="4.6445880452342485E-2"/>
    <x v="3"/>
  </r>
  <r>
    <s v="ORD100392"/>
    <s v="2025-03-10"/>
    <s v="Customer 60"/>
    <x v="1"/>
    <x v="2"/>
    <x v="1"/>
    <x v="5"/>
    <x v="7"/>
    <n v="3795.03"/>
    <n v="9"/>
    <x v="5"/>
    <x v="389"/>
    <x v="1"/>
    <x v="1"/>
    <x v="0"/>
    <x v="3"/>
    <s v="03"/>
    <n v="0.17152433577600176"/>
    <x v="3"/>
  </r>
  <r>
    <s v="ORD100393"/>
    <s v="2025-04-02"/>
    <s v="Customer 145"/>
    <x v="1"/>
    <x v="2"/>
    <x v="0"/>
    <x v="2"/>
    <x v="11"/>
    <n v="1673.07"/>
    <n v="7"/>
    <x v="0"/>
    <x v="390"/>
    <x v="8"/>
    <x v="1"/>
    <x v="0"/>
    <x v="8"/>
    <s v="04"/>
    <n v="0.24625389254484273"/>
    <x v="0"/>
  </r>
  <r>
    <s v="ORD100394"/>
    <s v="2024-10-09"/>
    <s v="Customer 43"/>
    <x v="2"/>
    <x v="3"/>
    <x v="0"/>
    <x v="2"/>
    <x v="11"/>
    <n v="6213.48"/>
    <n v="6"/>
    <x v="5"/>
    <x v="391"/>
    <x v="0"/>
    <x v="1"/>
    <x v="1"/>
    <x v="2"/>
    <s v="10"/>
    <n v="-6.8967792605753947E-2"/>
    <x v="3"/>
  </r>
  <r>
    <s v="ORD100395"/>
    <s v="2024-04-05"/>
    <s v="Customer 150"/>
    <x v="0"/>
    <x v="4"/>
    <x v="2"/>
    <x v="6"/>
    <x v="13"/>
    <n v="7988.48"/>
    <n v="8"/>
    <x v="1"/>
    <x v="392"/>
    <x v="7"/>
    <x v="0"/>
    <x v="1"/>
    <x v="8"/>
    <s v="04"/>
    <n v="-4.5109958340009616E-2"/>
    <x v="1"/>
  </r>
  <r>
    <s v="ORD100396"/>
    <s v="2024-12-10"/>
    <s v="Customer 127"/>
    <x v="1"/>
    <x v="5"/>
    <x v="0"/>
    <x v="1"/>
    <x v="1"/>
    <n v="1410"/>
    <n v="6"/>
    <x v="5"/>
    <x v="393"/>
    <x v="0"/>
    <x v="1"/>
    <x v="1"/>
    <x v="4"/>
    <s v="12"/>
    <n v="0.18480851063829787"/>
    <x v="3"/>
  </r>
  <r>
    <s v="ORD100397"/>
    <s v="2025-11-06"/>
    <s v="Customer 25"/>
    <x v="1"/>
    <x v="5"/>
    <x v="0"/>
    <x v="2"/>
    <x v="21"/>
    <n v="4630.38"/>
    <n v="6"/>
    <x v="2"/>
    <x v="394"/>
    <x v="6"/>
    <x v="0"/>
    <x v="0"/>
    <x v="10"/>
    <s v="11"/>
    <n v="2.0479960607984658E-2"/>
    <x v="1"/>
  </r>
  <r>
    <s v="ORD100398"/>
    <s v="2025-12-04"/>
    <s v="Customer 153"/>
    <x v="3"/>
    <x v="12"/>
    <x v="1"/>
    <x v="5"/>
    <x v="7"/>
    <n v="4290.4799999999996"/>
    <n v="4"/>
    <x v="6"/>
    <x v="395"/>
    <x v="5"/>
    <x v="3"/>
    <x v="0"/>
    <x v="4"/>
    <s v="12"/>
    <n v="0.30554157110626323"/>
    <x v="2"/>
  </r>
  <r>
    <s v="ORD100399"/>
    <s v="2025-12-23"/>
    <s v="Customer 173"/>
    <x v="2"/>
    <x v="6"/>
    <x v="0"/>
    <x v="1"/>
    <x v="19"/>
    <n v="9198.16"/>
    <n v="8"/>
    <x v="1"/>
    <x v="396"/>
    <x v="9"/>
    <x v="3"/>
    <x v="0"/>
    <x v="4"/>
    <s v="12"/>
    <n v="0.1211024813658384"/>
    <x v="1"/>
  </r>
  <r>
    <s v="ORD100400"/>
    <s v="2024-03-20"/>
    <s v="Customer 182"/>
    <x v="2"/>
    <x v="6"/>
    <x v="1"/>
    <x v="7"/>
    <x v="17"/>
    <n v="1450"/>
    <n v="2"/>
    <x v="6"/>
    <x v="397"/>
    <x v="9"/>
    <x v="2"/>
    <x v="1"/>
    <x v="3"/>
    <s v="03"/>
    <n v="0.35355172413793101"/>
    <x v="2"/>
  </r>
  <r>
    <s v="ORD100401"/>
    <s v="2025-10-27"/>
    <s v="Customer 64"/>
    <x v="0"/>
    <x v="7"/>
    <x v="1"/>
    <x v="3"/>
    <x v="5"/>
    <n v="3355.24"/>
    <n v="4"/>
    <x v="0"/>
    <x v="398"/>
    <x v="2"/>
    <x v="0"/>
    <x v="0"/>
    <x v="2"/>
    <s v="10"/>
    <n v="0.22463668768851114"/>
    <x v="0"/>
  </r>
  <r>
    <s v="ORD100402"/>
    <s v="2024-04-21"/>
    <s v="Customer 159"/>
    <x v="0"/>
    <x v="4"/>
    <x v="2"/>
    <x v="4"/>
    <x v="26"/>
    <n v="1529.88"/>
    <n v="6"/>
    <x v="1"/>
    <x v="399"/>
    <x v="2"/>
    <x v="0"/>
    <x v="1"/>
    <x v="8"/>
    <s v="04"/>
    <n v="0.10848563286009359"/>
    <x v="1"/>
  </r>
  <r>
    <s v="ORD100403"/>
    <s v="2024-09-12"/>
    <s v="Customer 181"/>
    <x v="3"/>
    <x v="13"/>
    <x v="2"/>
    <x v="4"/>
    <x v="10"/>
    <n v="7087.14"/>
    <n v="9"/>
    <x v="5"/>
    <x v="400"/>
    <x v="4"/>
    <x v="2"/>
    <x v="1"/>
    <x v="5"/>
    <s v="09"/>
    <n v="0.11350135597716426"/>
    <x v="3"/>
  </r>
  <r>
    <s v="ORD100404"/>
    <s v="2025-01-06"/>
    <s v="Customer 187"/>
    <x v="2"/>
    <x v="10"/>
    <x v="0"/>
    <x v="0"/>
    <x v="22"/>
    <n v="3653.12"/>
    <n v="4"/>
    <x v="5"/>
    <x v="401"/>
    <x v="6"/>
    <x v="2"/>
    <x v="0"/>
    <x v="0"/>
    <s v="01"/>
    <n v="-4.2248817449194113E-2"/>
    <x v="3"/>
  </r>
  <r>
    <s v="ORD100405"/>
    <s v="2024-07-26"/>
    <s v="Customer 104"/>
    <x v="0"/>
    <x v="4"/>
    <x v="2"/>
    <x v="8"/>
    <x v="20"/>
    <n v="1387.9"/>
    <n v="2"/>
    <x v="6"/>
    <x v="402"/>
    <x v="3"/>
    <x v="3"/>
    <x v="1"/>
    <x v="6"/>
    <s v="07"/>
    <n v="0.19020822825852007"/>
    <x v="2"/>
  </r>
  <r>
    <s v="ORD100406"/>
    <s v="2024-09-10"/>
    <s v="Customer 119"/>
    <x v="3"/>
    <x v="14"/>
    <x v="1"/>
    <x v="5"/>
    <x v="24"/>
    <n v="2789.7"/>
    <n v="3"/>
    <x v="6"/>
    <x v="403"/>
    <x v="1"/>
    <x v="1"/>
    <x v="1"/>
    <x v="5"/>
    <s v="09"/>
    <n v="0.38865827866795716"/>
    <x v="2"/>
  </r>
  <r>
    <s v="ORD100407"/>
    <s v="2024-12-19"/>
    <s v="Customer 74"/>
    <x v="3"/>
    <x v="15"/>
    <x v="0"/>
    <x v="2"/>
    <x v="21"/>
    <n v="1766.78"/>
    <n v="2"/>
    <x v="4"/>
    <x v="404"/>
    <x v="1"/>
    <x v="3"/>
    <x v="1"/>
    <x v="4"/>
    <s v="12"/>
    <n v="0.22692129184165546"/>
    <x v="3"/>
  </r>
  <r>
    <s v="ORD100408"/>
    <s v="2024-07-21"/>
    <s v="Customer 113"/>
    <x v="3"/>
    <x v="15"/>
    <x v="2"/>
    <x v="8"/>
    <x v="12"/>
    <n v="452.67"/>
    <n v="3"/>
    <x v="4"/>
    <x v="405"/>
    <x v="5"/>
    <x v="0"/>
    <x v="1"/>
    <x v="6"/>
    <s v="07"/>
    <n v="-7.968277111361477E-2"/>
    <x v="3"/>
  </r>
  <r>
    <s v="ORD100409"/>
    <s v="2025-03-06"/>
    <s v="Customer 193"/>
    <x v="3"/>
    <x v="15"/>
    <x v="0"/>
    <x v="2"/>
    <x v="21"/>
    <n v="4280.8999999999996"/>
    <n v="5"/>
    <x v="4"/>
    <x v="406"/>
    <x v="3"/>
    <x v="2"/>
    <x v="0"/>
    <x v="3"/>
    <s v="03"/>
    <n v="-5.9302950314186274E-2"/>
    <x v="3"/>
  </r>
  <r>
    <s v="ORD100410"/>
    <s v="2025-04-20"/>
    <s v="Customer 158"/>
    <x v="3"/>
    <x v="12"/>
    <x v="0"/>
    <x v="1"/>
    <x v="3"/>
    <n v="2076.1999999999998"/>
    <n v="5"/>
    <x v="5"/>
    <x v="407"/>
    <x v="7"/>
    <x v="1"/>
    <x v="0"/>
    <x v="8"/>
    <s v="04"/>
    <n v="-1.516713226086119E-2"/>
    <x v="3"/>
  </r>
  <r>
    <s v="ORD100411"/>
    <s v="2024-08-09"/>
    <s v="Customer 32"/>
    <x v="0"/>
    <x v="4"/>
    <x v="2"/>
    <x v="4"/>
    <x v="26"/>
    <n v="42.26"/>
    <n v="1"/>
    <x v="4"/>
    <x v="408"/>
    <x v="3"/>
    <x v="3"/>
    <x v="1"/>
    <x v="11"/>
    <s v="08"/>
    <n v="9.8438239469947952E-2"/>
    <x v="3"/>
  </r>
  <r>
    <s v="ORD100412"/>
    <s v="2025-06-09"/>
    <s v="Customer 39"/>
    <x v="0"/>
    <x v="0"/>
    <x v="1"/>
    <x v="5"/>
    <x v="24"/>
    <n v="3026.55"/>
    <n v="5"/>
    <x v="6"/>
    <x v="409"/>
    <x v="6"/>
    <x v="0"/>
    <x v="0"/>
    <x v="9"/>
    <s v="06"/>
    <n v="0.15954800019824553"/>
    <x v="2"/>
  </r>
  <r>
    <s v="ORD100413"/>
    <s v="2024-08-03"/>
    <s v="Customer 100"/>
    <x v="2"/>
    <x v="3"/>
    <x v="0"/>
    <x v="1"/>
    <x v="1"/>
    <n v="8243.84"/>
    <n v="8"/>
    <x v="2"/>
    <x v="410"/>
    <x v="0"/>
    <x v="1"/>
    <x v="1"/>
    <x v="11"/>
    <s v="08"/>
    <n v="-5.2499805915689774E-3"/>
    <x v="1"/>
  </r>
  <r>
    <s v="ORD100414"/>
    <s v="2024-12-04"/>
    <s v="Customer 84"/>
    <x v="0"/>
    <x v="4"/>
    <x v="1"/>
    <x v="5"/>
    <x v="15"/>
    <n v="3262.12"/>
    <n v="4"/>
    <x v="1"/>
    <x v="411"/>
    <x v="0"/>
    <x v="3"/>
    <x v="1"/>
    <x v="4"/>
    <s v="12"/>
    <n v="9.895711990975195E-2"/>
    <x v="1"/>
  </r>
  <r>
    <s v="ORD100415"/>
    <s v="2025-07-04"/>
    <s v="Customer 14"/>
    <x v="0"/>
    <x v="0"/>
    <x v="1"/>
    <x v="5"/>
    <x v="7"/>
    <n v="752.89"/>
    <n v="1"/>
    <x v="1"/>
    <x v="412"/>
    <x v="0"/>
    <x v="0"/>
    <x v="0"/>
    <x v="6"/>
    <s v="07"/>
    <n v="-0.19839551594522442"/>
    <x v="1"/>
  </r>
  <r>
    <s v="ORD100416"/>
    <s v="2025-08-03"/>
    <s v="Customer 105"/>
    <x v="1"/>
    <x v="2"/>
    <x v="1"/>
    <x v="5"/>
    <x v="24"/>
    <n v="508.69"/>
    <n v="1"/>
    <x v="2"/>
    <x v="413"/>
    <x v="6"/>
    <x v="2"/>
    <x v="0"/>
    <x v="11"/>
    <s v="08"/>
    <n v="0.14659222709312153"/>
    <x v="1"/>
  </r>
  <r>
    <s v="ORD100417"/>
    <s v="2025-12-22"/>
    <s v="Customer 200"/>
    <x v="1"/>
    <x v="2"/>
    <x v="0"/>
    <x v="0"/>
    <x v="0"/>
    <n v="4004.96"/>
    <n v="4"/>
    <x v="5"/>
    <x v="414"/>
    <x v="0"/>
    <x v="3"/>
    <x v="0"/>
    <x v="4"/>
    <s v="12"/>
    <n v="0.2597728816267828"/>
    <x v="3"/>
  </r>
  <r>
    <s v="ORD100418"/>
    <s v="2024-05-16"/>
    <s v="Customer 62"/>
    <x v="3"/>
    <x v="15"/>
    <x v="0"/>
    <x v="2"/>
    <x v="2"/>
    <n v="902.06"/>
    <n v="1"/>
    <x v="4"/>
    <x v="415"/>
    <x v="0"/>
    <x v="0"/>
    <x v="1"/>
    <x v="7"/>
    <s v="05"/>
    <n v="0.13694211028091258"/>
    <x v="3"/>
  </r>
  <r>
    <s v="ORD100419"/>
    <s v="2025-03-09"/>
    <s v="Customer 118"/>
    <x v="2"/>
    <x v="8"/>
    <x v="0"/>
    <x v="0"/>
    <x v="22"/>
    <n v="408.2"/>
    <n v="5"/>
    <x v="5"/>
    <x v="416"/>
    <x v="6"/>
    <x v="1"/>
    <x v="0"/>
    <x v="3"/>
    <s v="03"/>
    <n v="9.4953454189122974E-2"/>
    <x v="3"/>
  </r>
  <r>
    <s v="ORD100420"/>
    <s v="2025-03-22"/>
    <s v="Customer 76"/>
    <x v="0"/>
    <x v="4"/>
    <x v="0"/>
    <x v="2"/>
    <x v="11"/>
    <n v="3865.2"/>
    <n v="10"/>
    <x v="6"/>
    <x v="417"/>
    <x v="3"/>
    <x v="3"/>
    <x v="0"/>
    <x v="3"/>
    <s v="03"/>
    <n v="0.16188554279209358"/>
    <x v="2"/>
  </r>
  <r>
    <s v="ORD100421"/>
    <s v="2024-12-02"/>
    <s v="Customer 37"/>
    <x v="3"/>
    <x v="12"/>
    <x v="0"/>
    <x v="0"/>
    <x v="25"/>
    <n v="2394.36"/>
    <n v="3"/>
    <x v="0"/>
    <x v="418"/>
    <x v="5"/>
    <x v="1"/>
    <x v="1"/>
    <x v="4"/>
    <s v="12"/>
    <n v="0.10927763577741023"/>
    <x v="0"/>
  </r>
  <r>
    <s v="ORD100422"/>
    <s v="2025-11-06"/>
    <s v="Customer 149"/>
    <x v="1"/>
    <x v="2"/>
    <x v="1"/>
    <x v="5"/>
    <x v="7"/>
    <n v="146.54"/>
    <n v="1"/>
    <x v="6"/>
    <x v="419"/>
    <x v="8"/>
    <x v="2"/>
    <x v="0"/>
    <x v="10"/>
    <s v="11"/>
    <n v="0.24866930530913062"/>
    <x v="2"/>
  </r>
  <r>
    <s v="ORD100423"/>
    <s v="2025-08-22"/>
    <s v="Customer 136"/>
    <x v="3"/>
    <x v="15"/>
    <x v="2"/>
    <x v="4"/>
    <x v="26"/>
    <n v="5529.66"/>
    <n v="6"/>
    <x v="6"/>
    <x v="420"/>
    <x v="6"/>
    <x v="0"/>
    <x v="0"/>
    <x v="11"/>
    <s v="08"/>
    <n v="0.29034153998618362"/>
    <x v="2"/>
  </r>
  <r>
    <s v="ORD100424"/>
    <s v="2025-05-14"/>
    <s v="Customer 95"/>
    <x v="3"/>
    <x v="13"/>
    <x v="2"/>
    <x v="8"/>
    <x v="12"/>
    <n v="1571.43"/>
    <n v="3"/>
    <x v="0"/>
    <x v="421"/>
    <x v="4"/>
    <x v="3"/>
    <x v="0"/>
    <x v="7"/>
    <s v="05"/>
    <n v="0.41362962397306913"/>
    <x v="0"/>
  </r>
  <r>
    <s v="ORD100425"/>
    <s v="2025-09-18"/>
    <s v="Customer 65"/>
    <x v="3"/>
    <x v="12"/>
    <x v="1"/>
    <x v="3"/>
    <x v="5"/>
    <n v="207.7"/>
    <n v="10"/>
    <x v="0"/>
    <x v="137"/>
    <x v="8"/>
    <x v="2"/>
    <x v="0"/>
    <x v="5"/>
    <s v="09"/>
    <n v="0.20755897929706307"/>
    <x v="0"/>
  </r>
  <r>
    <s v="ORD100426"/>
    <s v="2024-03-01"/>
    <s v="Customer 74"/>
    <x v="0"/>
    <x v="4"/>
    <x v="2"/>
    <x v="4"/>
    <x v="26"/>
    <n v="11497.1"/>
    <n v="10"/>
    <x v="0"/>
    <x v="422"/>
    <x v="6"/>
    <x v="0"/>
    <x v="1"/>
    <x v="3"/>
    <s v="03"/>
    <n v="0.15870697828147967"/>
    <x v="0"/>
  </r>
  <r>
    <s v="ORD100427"/>
    <s v="2024-02-17"/>
    <s v="Customer 92"/>
    <x v="3"/>
    <x v="15"/>
    <x v="2"/>
    <x v="4"/>
    <x v="10"/>
    <n v="507.81"/>
    <n v="3"/>
    <x v="1"/>
    <x v="423"/>
    <x v="1"/>
    <x v="0"/>
    <x v="1"/>
    <x v="1"/>
    <s v="02"/>
    <n v="0.1043500521848723"/>
    <x v="1"/>
  </r>
  <r>
    <s v="ORD100428"/>
    <s v="2024-04-15"/>
    <s v="Customer 63"/>
    <x v="2"/>
    <x v="10"/>
    <x v="2"/>
    <x v="6"/>
    <x v="13"/>
    <n v="1157.32"/>
    <n v="2"/>
    <x v="0"/>
    <x v="424"/>
    <x v="2"/>
    <x v="2"/>
    <x v="1"/>
    <x v="8"/>
    <s v="04"/>
    <n v="0.40309508174057307"/>
    <x v="0"/>
  </r>
  <r>
    <s v="ORD100429"/>
    <s v="2025-09-05"/>
    <s v="Customer 75"/>
    <x v="1"/>
    <x v="1"/>
    <x v="0"/>
    <x v="1"/>
    <x v="19"/>
    <n v="3190.4"/>
    <n v="10"/>
    <x v="3"/>
    <x v="425"/>
    <x v="7"/>
    <x v="1"/>
    <x v="0"/>
    <x v="5"/>
    <s v="09"/>
    <n v="0.23094282848545636"/>
    <x v="2"/>
  </r>
  <r>
    <s v="ORD100430"/>
    <s v="2025-12-30"/>
    <s v="Customer 5"/>
    <x v="2"/>
    <x v="10"/>
    <x v="2"/>
    <x v="8"/>
    <x v="12"/>
    <n v="1805.22"/>
    <n v="6"/>
    <x v="0"/>
    <x v="426"/>
    <x v="0"/>
    <x v="2"/>
    <x v="0"/>
    <x v="4"/>
    <s v="12"/>
    <n v="9.732885742457982E-2"/>
    <x v="0"/>
  </r>
  <r>
    <s v="ORD100431"/>
    <s v="2025-06-07"/>
    <s v="Customer 183"/>
    <x v="2"/>
    <x v="8"/>
    <x v="0"/>
    <x v="0"/>
    <x v="25"/>
    <n v="10047.69"/>
    <n v="9"/>
    <x v="2"/>
    <x v="427"/>
    <x v="7"/>
    <x v="3"/>
    <x v="0"/>
    <x v="9"/>
    <s v="06"/>
    <n v="8.4043197988791452E-2"/>
    <x v="1"/>
  </r>
  <r>
    <s v="ORD100432"/>
    <s v="2025-10-21"/>
    <s v="Customer 54"/>
    <x v="0"/>
    <x v="4"/>
    <x v="2"/>
    <x v="6"/>
    <x v="8"/>
    <n v="1361.52"/>
    <n v="4"/>
    <x v="1"/>
    <x v="428"/>
    <x v="9"/>
    <x v="3"/>
    <x v="0"/>
    <x v="2"/>
    <s v="10"/>
    <n v="6.295904577237206E-2"/>
    <x v="1"/>
  </r>
  <r>
    <s v="ORD100433"/>
    <s v="2024-04-14"/>
    <s v="Customer 162"/>
    <x v="3"/>
    <x v="14"/>
    <x v="1"/>
    <x v="5"/>
    <x v="24"/>
    <n v="126.08"/>
    <n v="8"/>
    <x v="0"/>
    <x v="429"/>
    <x v="4"/>
    <x v="1"/>
    <x v="1"/>
    <x v="8"/>
    <s v="04"/>
    <n v="0.35612309644670048"/>
    <x v="0"/>
  </r>
  <r>
    <s v="ORD100434"/>
    <s v="2024-12-17"/>
    <s v="Customer 126"/>
    <x v="2"/>
    <x v="10"/>
    <x v="2"/>
    <x v="4"/>
    <x v="26"/>
    <n v="2997.76"/>
    <n v="4"/>
    <x v="0"/>
    <x v="430"/>
    <x v="5"/>
    <x v="1"/>
    <x v="1"/>
    <x v="4"/>
    <s v="12"/>
    <n v="0.40729077711357814"/>
    <x v="0"/>
  </r>
  <r>
    <s v="ORD100435"/>
    <s v="2024-01-30"/>
    <s v="Customer 85"/>
    <x v="3"/>
    <x v="12"/>
    <x v="0"/>
    <x v="2"/>
    <x v="21"/>
    <n v="63.45"/>
    <n v="3"/>
    <x v="0"/>
    <x v="431"/>
    <x v="3"/>
    <x v="0"/>
    <x v="1"/>
    <x v="0"/>
    <s v="01"/>
    <n v="0.18313632781717887"/>
    <x v="0"/>
  </r>
  <r>
    <s v="ORD100436"/>
    <s v="2025-02-05"/>
    <s v="Customer 186"/>
    <x v="1"/>
    <x v="2"/>
    <x v="2"/>
    <x v="4"/>
    <x v="26"/>
    <n v="1024.6099999999999"/>
    <n v="1"/>
    <x v="3"/>
    <x v="432"/>
    <x v="9"/>
    <x v="0"/>
    <x v="0"/>
    <x v="1"/>
    <s v="02"/>
    <n v="-1.2512077766174448E-2"/>
    <x v="2"/>
  </r>
  <r>
    <s v="ORD100437"/>
    <s v="2024-06-08"/>
    <s v="Customer 131"/>
    <x v="2"/>
    <x v="3"/>
    <x v="0"/>
    <x v="0"/>
    <x v="0"/>
    <n v="2362.48"/>
    <n v="2"/>
    <x v="1"/>
    <x v="433"/>
    <x v="1"/>
    <x v="1"/>
    <x v="1"/>
    <x v="9"/>
    <s v="06"/>
    <n v="0.17696234465476957"/>
    <x v="1"/>
  </r>
  <r>
    <s v="ORD100438"/>
    <s v="2024-08-28"/>
    <s v="Customer 72"/>
    <x v="1"/>
    <x v="11"/>
    <x v="1"/>
    <x v="7"/>
    <x v="17"/>
    <n v="9152.64"/>
    <n v="9"/>
    <x v="5"/>
    <x v="434"/>
    <x v="5"/>
    <x v="2"/>
    <x v="1"/>
    <x v="11"/>
    <s v="08"/>
    <n v="0.20188273547304386"/>
    <x v="3"/>
  </r>
  <r>
    <s v="ORD100439"/>
    <s v="2024-05-25"/>
    <s v="Customer 175"/>
    <x v="3"/>
    <x v="14"/>
    <x v="2"/>
    <x v="6"/>
    <x v="8"/>
    <n v="4602.1499999999996"/>
    <n v="5"/>
    <x v="0"/>
    <x v="435"/>
    <x v="8"/>
    <x v="3"/>
    <x v="1"/>
    <x v="7"/>
    <s v="05"/>
    <n v="6.7381549927751166E-2"/>
    <x v="0"/>
  </r>
  <r>
    <s v="ORD100440"/>
    <s v="2024-02-03"/>
    <s v="Customer 94"/>
    <x v="3"/>
    <x v="13"/>
    <x v="0"/>
    <x v="2"/>
    <x v="11"/>
    <n v="6929.34"/>
    <n v="6"/>
    <x v="3"/>
    <x v="436"/>
    <x v="7"/>
    <x v="1"/>
    <x v="1"/>
    <x v="1"/>
    <s v="02"/>
    <n v="7.0368895161732573E-2"/>
    <x v="2"/>
  </r>
  <r>
    <s v="ORD100441"/>
    <s v="2024-11-08"/>
    <s v="Customer 118"/>
    <x v="2"/>
    <x v="6"/>
    <x v="1"/>
    <x v="3"/>
    <x v="14"/>
    <n v="75.260000000000005"/>
    <n v="2"/>
    <x v="2"/>
    <x v="437"/>
    <x v="0"/>
    <x v="2"/>
    <x v="1"/>
    <x v="10"/>
    <s v="11"/>
    <n v="7.6003188944990696E-2"/>
    <x v="1"/>
  </r>
  <r>
    <s v="ORD100442"/>
    <s v="2025-11-27"/>
    <s v="Customer 27"/>
    <x v="1"/>
    <x v="11"/>
    <x v="2"/>
    <x v="6"/>
    <x v="23"/>
    <n v="1335.36"/>
    <n v="8"/>
    <x v="1"/>
    <x v="438"/>
    <x v="9"/>
    <x v="0"/>
    <x v="0"/>
    <x v="10"/>
    <s v="11"/>
    <n v="-0.1646072969086988"/>
    <x v="1"/>
  </r>
  <r>
    <s v="ORD100443"/>
    <s v="2024-06-28"/>
    <s v="Customer 117"/>
    <x v="0"/>
    <x v="7"/>
    <x v="1"/>
    <x v="5"/>
    <x v="15"/>
    <n v="4524.84"/>
    <n v="6"/>
    <x v="3"/>
    <x v="439"/>
    <x v="8"/>
    <x v="0"/>
    <x v="1"/>
    <x v="9"/>
    <s v="06"/>
    <n v="0.31085519045977311"/>
    <x v="2"/>
  </r>
  <r>
    <s v="ORD100444"/>
    <s v="2025-09-06"/>
    <s v="Customer 10"/>
    <x v="2"/>
    <x v="10"/>
    <x v="0"/>
    <x v="2"/>
    <x v="21"/>
    <n v="430.1"/>
    <n v="5"/>
    <x v="0"/>
    <x v="440"/>
    <x v="1"/>
    <x v="0"/>
    <x v="0"/>
    <x v="5"/>
    <s v="09"/>
    <n v="0.15596372936526387"/>
    <x v="0"/>
  </r>
  <r>
    <s v="ORD100445"/>
    <s v="2025-07-18"/>
    <s v="Customer 120"/>
    <x v="3"/>
    <x v="14"/>
    <x v="2"/>
    <x v="4"/>
    <x v="10"/>
    <n v="1966.5"/>
    <n v="6"/>
    <x v="0"/>
    <x v="441"/>
    <x v="2"/>
    <x v="3"/>
    <x v="0"/>
    <x v="6"/>
    <s v="07"/>
    <n v="0.16277650648360031"/>
    <x v="0"/>
  </r>
  <r>
    <s v="ORD100446"/>
    <s v="2024-02-28"/>
    <s v="Customer 107"/>
    <x v="1"/>
    <x v="2"/>
    <x v="1"/>
    <x v="5"/>
    <x v="7"/>
    <n v="1505.16"/>
    <n v="3"/>
    <x v="1"/>
    <x v="442"/>
    <x v="5"/>
    <x v="1"/>
    <x v="1"/>
    <x v="1"/>
    <s v="02"/>
    <n v="0.12845810412182093"/>
    <x v="1"/>
  </r>
  <r>
    <s v="ORD100447"/>
    <s v="2025-01-29"/>
    <s v="Customer 98"/>
    <x v="0"/>
    <x v="7"/>
    <x v="1"/>
    <x v="5"/>
    <x v="7"/>
    <n v="2534.1999999999998"/>
    <n v="4"/>
    <x v="0"/>
    <x v="443"/>
    <x v="5"/>
    <x v="3"/>
    <x v="0"/>
    <x v="0"/>
    <s v="01"/>
    <n v="0.26487648962197147"/>
    <x v="0"/>
  </r>
  <r>
    <s v="ORD100448"/>
    <s v="2025-04-17"/>
    <s v="Customer 109"/>
    <x v="0"/>
    <x v="0"/>
    <x v="2"/>
    <x v="4"/>
    <x v="10"/>
    <n v="4651.3"/>
    <n v="5"/>
    <x v="3"/>
    <x v="298"/>
    <x v="6"/>
    <x v="1"/>
    <x v="0"/>
    <x v="8"/>
    <s v="04"/>
    <n v="0.17661083998022059"/>
    <x v="2"/>
  </r>
  <r>
    <s v="ORD100449"/>
    <s v="2024-06-01"/>
    <s v="Customer 109"/>
    <x v="2"/>
    <x v="8"/>
    <x v="1"/>
    <x v="7"/>
    <x v="16"/>
    <n v="1077.27"/>
    <n v="1"/>
    <x v="6"/>
    <x v="444"/>
    <x v="5"/>
    <x v="0"/>
    <x v="1"/>
    <x v="9"/>
    <s v="06"/>
    <n v="0.29042858336350219"/>
    <x v="2"/>
  </r>
  <r>
    <s v="ORD100450"/>
    <s v="2024-11-17"/>
    <s v="Customer 131"/>
    <x v="0"/>
    <x v="0"/>
    <x v="1"/>
    <x v="7"/>
    <x v="16"/>
    <n v="1477.42"/>
    <n v="7"/>
    <x v="3"/>
    <x v="445"/>
    <x v="4"/>
    <x v="1"/>
    <x v="1"/>
    <x v="10"/>
    <s v="11"/>
    <n v="-4.2066575516779246E-2"/>
    <x v="2"/>
  </r>
  <r>
    <s v="ORD100451"/>
    <s v="2025-05-11"/>
    <s v="Customer 116"/>
    <x v="2"/>
    <x v="6"/>
    <x v="0"/>
    <x v="1"/>
    <x v="1"/>
    <n v="4982.25"/>
    <n v="5"/>
    <x v="4"/>
    <x v="446"/>
    <x v="9"/>
    <x v="2"/>
    <x v="0"/>
    <x v="7"/>
    <s v="05"/>
    <n v="0.11494204425711274"/>
    <x v="3"/>
  </r>
  <r>
    <s v="ORD100452"/>
    <s v="2024-11-28"/>
    <s v="Customer 182"/>
    <x v="3"/>
    <x v="13"/>
    <x v="2"/>
    <x v="4"/>
    <x v="6"/>
    <n v="6558.93"/>
    <n v="7"/>
    <x v="0"/>
    <x v="447"/>
    <x v="8"/>
    <x v="1"/>
    <x v="1"/>
    <x v="10"/>
    <s v="11"/>
    <n v="0.25503855049527896"/>
    <x v="0"/>
  </r>
  <r>
    <s v="ORD100453"/>
    <s v="2024-03-30"/>
    <s v="Customer 199"/>
    <x v="2"/>
    <x v="6"/>
    <x v="2"/>
    <x v="6"/>
    <x v="8"/>
    <n v="6373.86"/>
    <n v="6"/>
    <x v="4"/>
    <x v="448"/>
    <x v="1"/>
    <x v="2"/>
    <x v="1"/>
    <x v="3"/>
    <s v="03"/>
    <n v="0.22409654432322015"/>
    <x v="3"/>
  </r>
  <r>
    <s v="ORD100454"/>
    <s v="2024-12-13"/>
    <s v="Customer 31"/>
    <x v="1"/>
    <x v="1"/>
    <x v="0"/>
    <x v="2"/>
    <x v="21"/>
    <n v="4868.58"/>
    <n v="6"/>
    <x v="6"/>
    <x v="449"/>
    <x v="6"/>
    <x v="2"/>
    <x v="1"/>
    <x v="4"/>
    <s v="12"/>
    <n v="0.2830003820415809"/>
    <x v="2"/>
  </r>
  <r>
    <s v="ORD100455"/>
    <s v="2024-08-18"/>
    <s v="Customer 111"/>
    <x v="0"/>
    <x v="9"/>
    <x v="2"/>
    <x v="8"/>
    <x v="20"/>
    <n v="5996.94"/>
    <n v="6"/>
    <x v="1"/>
    <x v="450"/>
    <x v="8"/>
    <x v="2"/>
    <x v="1"/>
    <x v="11"/>
    <s v="08"/>
    <n v="6.1414654807285057E-2"/>
    <x v="1"/>
  </r>
  <r>
    <s v="ORD100456"/>
    <s v="2025-03-17"/>
    <s v="Customer 167"/>
    <x v="2"/>
    <x v="10"/>
    <x v="2"/>
    <x v="6"/>
    <x v="13"/>
    <n v="1033.98"/>
    <n v="2"/>
    <x v="2"/>
    <x v="451"/>
    <x v="9"/>
    <x v="2"/>
    <x v="0"/>
    <x v="3"/>
    <s v="03"/>
    <n v="-0.13734308207121992"/>
    <x v="1"/>
  </r>
  <r>
    <s v="ORD100457"/>
    <s v="2024-07-07"/>
    <s v="Customer 103"/>
    <x v="3"/>
    <x v="15"/>
    <x v="1"/>
    <x v="5"/>
    <x v="7"/>
    <n v="3852.17"/>
    <n v="7"/>
    <x v="5"/>
    <x v="452"/>
    <x v="1"/>
    <x v="1"/>
    <x v="1"/>
    <x v="6"/>
    <s v="07"/>
    <n v="0.1353211306873788"/>
    <x v="3"/>
  </r>
  <r>
    <s v="ORD100458"/>
    <s v="2025-08-10"/>
    <s v="Customer 58"/>
    <x v="3"/>
    <x v="13"/>
    <x v="0"/>
    <x v="2"/>
    <x v="2"/>
    <n v="7674.6"/>
    <n v="10"/>
    <x v="4"/>
    <x v="453"/>
    <x v="1"/>
    <x v="0"/>
    <x v="0"/>
    <x v="11"/>
    <s v="08"/>
    <n v="1.163578557840148E-3"/>
    <x v="3"/>
  </r>
  <r>
    <s v="ORD100459"/>
    <s v="2024-10-23"/>
    <s v="Customer 152"/>
    <x v="3"/>
    <x v="12"/>
    <x v="1"/>
    <x v="3"/>
    <x v="14"/>
    <n v="608.88"/>
    <n v="1"/>
    <x v="0"/>
    <x v="454"/>
    <x v="2"/>
    <x v="0"/>
    <x v="1"/>
    <x v="2"/>
    <s v="10"/>
    <n v="0.15168834581526738"/>
    <x v="0"/>
  </r>
  <r>
    <s v="ORD100460"/>
    <s v="2024-06-09"/>
    <s v="Customer 165"/>
    <x v="3"/>
    <x v="12"/>
    <x v="1"/>
    <x v="3"/>
    <x v="14"/>
    <n v="1004.37"/>
    <n v="3"/>
    <x v="1"/>
    <x v="455"/>
    <x v="4"/>
    <x v="3"/>
    <x v="1"/>
    <x v="9"/>
    <s v="06"/>
    <n v="-0.12429682288399693"/>
    <x v="1"/>
  </r>
  <r>
    <s v="ORD100461"/>
    <s v="2025-06-18"/>
    <s v="Customer 51"/>
    <x v="2"/>
    <x v="8"/>
    <x v="2"/>
    <x v="6"/>
    <x v="8"/>
    <n v="3914.56"/>
    <n v="4"/>
    <x v="1"/>
    <x v="456"/>
    <x v="2"/>
    <x v="0"/>
    <x v="0"/>
    <x v="9"/>
    <s v="06"/>
    <n v="0.16619492356739968"/>
    <x v="1"/>
  </r>
  <r>
    <s v="ORD100462"/>
    <s v="2025-06-28"/>
    <s v="Customer 72"/>
    <x v="2"/>
    <x v="10"/>
    <x v="2"/>
    <x v="6"/>
    <x v="23"/>
    <n v="4566.7299999999996"/>
    <n v="7"/>
    <x v="4"/>
    <x v="457"/>
    <x v="3"/>
    <x v="3"/>
    <x v="0"/>
    <x v="9"/>
    <s v="06"/>
    <n v="8.5628009538553859E-2"/>
    <x v="3"/>
  </r>
  <r>
    <s v="ORD100463"/>
    <s v="2024-01-02"/>
    <s v="Customer 154"/>
    <x v="1"/>
    <x v="5"/>
    <x v="2"/>
    <x v="8"/>
    <x v="20"/>
    <n v="695.28"/>
    <n v="6"/>
    <x v="3"/>
    <x v="458"/>
    <x v="3"/>
    <x v="3"/>
    <x v="1"/>
    <x v="0"/>
    <s v="01"/>
    <n v="0.20201933034173283"/>
    <x v="2"/>
  </r>
  <r>
    <s v="ORD100464"/>
    <s v="2025-05-26"/>
    <s v="Customer 62"/>
    <x v="1"/>
    <x v="5"/>
    <x v="1"/>
    <x v="5"/>
    <x v="24"/>
    <n v="5915.65"/>
    <n v="5"/>
    <x v="6"/>
    <x v="459"/>
    <x v="2"/>
    <x v="2"/>
    <x v="0"/>
    <x v="7"/>
    <s v="05"/>
    <n v="0.18873834658913222"/>
    <x v="2"/>
  </r>
  <r>
    <s v="ORD100465"/>
    <s v="2025-02-18"/>
    <s v="Customer 15"/>
    <x v="1"/>
    <x v="1"/>
    <x v="2"/>
    <x v="4"/>
    <x v="10"/>
    <n v="4114.3900000000003"/>
    <n v="7"/>
    <x v="3"/>
    <x v="460"/>
    <x v="4"/>
    <x v="3"/>
    <x v="0"/>
    <x v="1"/>
    <s v="02"/>
    <n v="0.27000114233215616"/>
    <x v="2"/>
  </r>
  <r>
    <s v="ORD100466"/>
    <s v="2024-02-02"/>
    <s v="Customer 87"/>
    <x v="1"/>
    <x v="5"/>
    <x v="0"/>
    <x v="2"/>
    <x v="21"/>
    <n v="3093.75"/>
    <n v="5"/>
    <x v="4"/>
    <x v="461"/>
    <x v="9"/>
    <x v="3"/>
    <x v="1"/>
    <x v="1"/>
    <s v="02"/>
    <n v="1.7451313131313134E-2"/>
    <x v="3"/>
  </r>
  <r>
    <s v="ORD100467"/>
    <s v="2025-08-27"/>
    <s v="Customer 126"/>
    <x v="1"/>
    <x v="5"/>
    <x v="0"/>
    <x v="0"/>
    <x v="0"/>
    <n v="3486.8"/>
    <n v="4"/>
    <x v="3"/>
    <x v="462"/>
    <x v="4"/>
    <x v="0"/>
    <x v="0"/>
    <x v="11"/>
    <s v="08"/>
    <n v="0.28196627280027531"/>
    <x v="2"/>
  </r>
  <r>
    <s v="ORD100468"/>
    <s v="2024-10-27"/>
    <s v="Customer 48"/>
    <x v="1"/>
    <x v="2"/>
    <x v="0"/>
    <x v="1"/>
    <x v="19"/>
    <n v="788.4"/>
    <n v="1"/>
    <x v="0"/>
    <x v="463"/>
    <x v="7"/>
    <x v="0"/>
    <x v="1"/>
    <x v="2"/>
    <s v="10"/>
    <n v="0.21127600202942667"/>
    <x v="0"/>
  </r>
  <r>
    <s v="ORD100469"/>
    <s v="2024-03-18"/>
    <s v="Customer 168"/>
    <x v="0"/>
    <x v="0"/>
    <x v="0"/>
    <x v="0"/>
    <x v="22"/>
    <n v="10166.4"/>
    <n v="10"/>
    <x v="5"/>
    <x v="464"/>
    <x v="5"/>
    <x v="1"/>
    <x v="1"/>
    <x v="3"/>
    <s v="03"/>
    <n v="3.2789384639597109E-2"/>
    <x v="3"/>
  </r>
  <r>
    <s v="ORD100470"/>
    <s v="2024-10-29"/>
    <s v="Customer 145"/>
    <x v="0"/>
    <x v="9"/>
    <x v="2"/>
    <x v="4"/>
    <x v="10"/>
    <n v="1423.02"/>
    <n v="3"/>
    <x v="3"/>
    <x v="465"/>
    <x v="0"/>
    <x v="0"/>
    <x v="1"/>
    <x v="2"/>
    <s v="10"/>
    <n v="-1.4940057061741931E-2"/>
    <x v="2"/>
  </r>
  <r>
    <s v="ORD100471"/>
    <s v="2024-11-06"/>
    <s v="Customer 128"/>
    <x v="2"/>
    <x v="6"/>
    <x v="0"/>
    <x v="2"/>
    <x v="21"/>
    <n v="1286.01"/>
    <n v="3"/>
    <x v="1"/>
    <x v="466"/>
    <x v="6"/>
    <x v="1"/>
    <x v="1"/>
    <x v="10"/>
    <s v="11"/>
    <n v="8.0139345728260286E-2"/>
    <x v="1"/>
  </r>
  <r>
    <s v="ORD100472"/>
    <s v="2024-04-13"/>
    <s v="Customer 118"/>
    <x v="3"/>
    <x v="13"/>
    <x v="0"/>
    <x v="0"/>
    <x v="25"/>
    <n v="8850.6"/>
    <n v="9"/>
    <x v="1"/>
    <x v="467"/>
    <x v="9"/>
    <x v="1"/>
    <x v="1"/>
    <x v="8"/>
    <s v="04"/>
    <n v="0.18618624726007274"/>
    <x v="1"/>
  </r>
  <r>
    <s v="ORD100473"/>
    <s v="2024-05-05"/>
    <s v="Customer 7"/>
    <x v="1"/>
    <x v="5"/>
    <x v="2"/>
    <x v="6"/>
    <x v="8"/>
    <n v="1180.1400000000001"/>
    <n v="3"/>
    <x v="6"/>
    <x v="468"/>
    <x v="4"/>
    <x v="3"/>
    <x v="1"/>
    <x v="7"/>
    <s v="05"/>
    <n v="6.9432440218957059E-2"/>
    <x v="2"/>
  </r>
  <r>
    <s v="ORD100474"/>
    <s v="2024-07-28"/>
    <s v="Customer 3"/>
    <x v="2"/>
    <x v="3"/>
    <x v="1"/>
    <x v="7"/>
    <x v="16"/>
    <n v="7931.61"/>
    <n v="9"/>
    <x v="0"/>
    <x v="469"/>
    <x v="2"/>
    <x v="1"/>
    <x v="1"/>
    <x v="6"/>
    <s v="07"/>
    <n v="0.1971970381801425"/>
    <x v="0"/>
  </r>
  <r>
    <s v="ORD100475"/>
    <s v="2025-07-29"/>
    <s v="Customer 143"/>
    <x v="2"/>
    <x v="10"/>
    <x v="2"/>
    <x v="6"/>
    <x v="13"/>
    <n v="9247.41"/>
    <n v="9"/>
    <x v="5"/>
    <x v="470"/>
    <x v="4"/>
    <x v="2"/>
    <x v="0"/>
    <x v="6"/>
    <s v="07"/>
    <n v="4.1255875969595811E-2"/>
    <x v="3"/>
  </r>
  <r>
    <s v="ORD100476"/>
    <s v="2025-01-02"/>
    <s v="Customer 34"/>
    <x v="1"/>
    <x v="1"/>
    <x v="1"/>
    <x v="3"/>
    <x v="4"/>
    <n v="2335.48"/>
    <n v="4"/>
    <x v="5"/>
    <x v="471"/>
    <x v="9"/>
    <x v="1"/>
    <x v="0"/>
    <x v="0"/>
    <s v="01"/>
    <n v="2.5609296589994349E-2"/>
    <x v="3"/>
  </r>
  <r>
    <s v="ORD100477"/>
    <s v="2024-12-14"/>
    <s v="Customer 83"/>
    <x v="3"/>
    <x v="13"/>
    <x v="1"/>
    <x v="3"/>
    <x v="14"/>
    <n v="1310.76"/>
    <n v="2"/>
    <x v="2"/>
    <x v="472"/>
    <x v="9"/>
    <x v="1"/>
    <x v="1"/>
    <x v="4"/>
    <s v="12"/>
    <n v="-7.8519332295767338E-2"/>
    <x v="1"/>
  </r>
  <r>
    <s v="ORD100478"/>
    <s v="2024-09-16"/>
    <s v="Customer 17"/>
    <x v="2"/>
    <x v="10"/>
    <x v="2"/>
    <x v="8"/>
    <x v="20"/>
    <n v="1003.82"/>
    <n v="1"/>
    <x v="2"/>
    <x v="473"/>
    <x v="1"/>
    <x v="1"/>
    <x v="1"/>
    <x v="5"/>
    <s v="09"/>
    <n v="-3.3262935586061242E-2"/>
    <x v="1"/>
  </r>
  <r>
    <s v="ORD100479"/>
    <s v="2024-09-05"/>
    <s v="Customer 8"/>
    <x v="3"/>
    <x v="12"/>
    <x v="2"/>
    <x v="8"/>
    <x v="18"/>
    <n v="1354.74"/>
    <n v="2"/>
    <x v="4"/>
    <x v="474"/>
    <x v="3"/>
    <x v="2"/>
    <x v="1"/>
    <x v="5"/>
    <s v="09"/>
    <n v="-5.1552327383852257E-2"/>
    <x v="3"/>
  </r>
  <r>
    <s v="ORD100480"/>
    <s v="2024-04-18"/>
    <s v="Customer 198"/>
    <x v="1"/>
    <x v="2"/>
    <x v="1"/>
    <x v="7"/>
    <x v="17"/>
    <n v="5809.86"/>
    <n v="6"/>
    <x v="5"/>
    <x v="475"/>
    <x v="1"/>
    <x v="3"/>
    <x v="1"/>
    <x v="8"/>
    <s v="04"/>
    <n v="-8.0802291277242477E-2"/>
    <x v="3"/>
  </r>
  <r>
    <s v="ORD100481"/>
    <s v="2024-05-28"/>
    <s v="Customer 34"/>
    <x v="2"/>
    <x v="6"/>
    <x v="0"/>
    <x v="0"/>
    <x v="25"/>
    <n v="1242.6400000000001"/>
    <n v="8"/>
    <x v="6"/>
    <x v="476"/>
    <x v="2"/>
    <x v="1"/>
    <x v="1"/>
    <x v="7"/>
    <s v="05"/>
    <n v="4.6698963497070749E-2"/>
    <x v="2"/>
  </r>
  <r>
    <s v="ORD100482"/>
    <s v="2025-10-28"/>
    <s v="Customer 106"/>
    <x v="3"/>
    <x v="15"/>
    <x v="2"/>
    <x v="8"/>
    <x v="12"/>
    <n v="2919.12"/>
    <n v="3"/>
    <x v="5"/>
    <x v="477"/>
    <x v="6"/>
    <x v="0"/>
    <x v="0"/>
    <x v="2"/>
    <s v="10"/>
    <n v="4.8141220641837269E-2"/>
    <x v="3"/>
  </r>
  <r>
    <s v="ORD100483"/>
    <s v="2024-11-03"/>
    <s v="Customer 121"/>
    <x v="2"/>
    <x v="10"/>
    <x v="1"/>
    <x v="7"/>
    <x v="17"/>
    <n v="2424.39"/>
    <n v="3"/>
    <x v="3"/>
    <x v="478"/>
    <x v="9"/>
    <x v="1"/>
    <x v="1"/>
    <x v="10"/>
    <s v="11"/>
    <n v="0.15266520650555399"/>
    <x v="2"/>
  </r>
  <r>
    <s v="ORD100484"/>
    <s v="2024-10-27"/>
    <s v="Customer 44"/>
    <x v="3"/>
    <x v="15"/>
    <x v="1"/>
    <x v="5"/>
    <x v="24"/>
    <n v="4942.5"/>
    <n v="5"/>
    <x v="6"/>
    <x v="479"/>
    <x v="2"/>
    <x v="3"/>
    <x v="1"/>
    <x v="2"/>
    <s v="10"/>
    <n v="0.23012038442083962"/>
    <x v="2"/>
  </r>
  <r>
    <s v="ORD100485"/>
    <s v="2025-01-05"/>
    <s v="Customer 34"/>
    <x v="0"/>
    <x v="9"/>
    <x v="1"/>
    <x v="7"/>
    <x v="17"/>
    <n v="6463.38"/>
    <n v="7"/>
    <x v="0"/>
    <x v="480"/>
    <x v="0"/>
    <x v="1"/>
    <x v="0"/>
    <x v="0"/>
    <s v="01"/>
    <n v="0.34941315534596445"/>
    <x v="0"/>
  </r>
  <r>
    <s v="ORD100486"/>
    <s v="2024-07-14"/>
    <s v="Customer 21"/>
    <x v="1"/>
    <x v="1"/>
    <x v="1"/>
    <x v="7"/>
    <x v="9"/>
    <n v="239.2"/>
    <n v="10"/>
    <x v="0"/>
    <x v="481"/>
    <x v="4"/>
    <x v="3"/>
    <x v="1"/>
    <x v="6"/>
    <s v="07"/>
    <n v="0.39866220735785957"/>
    <x v="0"/>
  </r>
  <r>
    <s v="ORD100487"/>
    <s v="2025-05-20"/>
    <s v="Customer 72"/>
    <x v="1"/>
    <x v="2"/>
    <x v="0"/>
    <x v="2"/>
    <x v="11"/>
    <n v="8023.4"/>
    <n v="10"/>
    <x v="5"/>
    <x v="482"/>
    <x v="7"/>
    <x v="1"/>
    <x v="0"/>
    <x v="7"/>
    <s v="05"/>
    <n v="3.4089039559289082E-2"/>
    <x v="3"/>
  </r>
  <r>
    <s v="ORD100488"/>
    <s v="2025-04-14"/>
    <s v="Customer 183"/>
    <x v="3"/>
    <x v="14"/>
    <x v="0"/>
    <x v="1"/>
    <x v="1"/>
    <n v="4682.45"/>
    <n v="5"/>
    <x v="6"/>
    <x v="483"/>
    <x v="4"/>
    <x v="1"/>
    <x v="0"/>
    <x v="8"/>
    <s v="04"/>
    <n v="8.4547619301861207E-2"/>
    <x v="2"/>
  </r>
  <r>
    <s v="ORD100489"/>
    <s v="2025-01-16"/>
    <s v="Customer 24"/>
    <x v="2"/>
    <x v="8"/>
    <x v="2"/>
    <x v="8"/>
    <x v="20"/>
    <n v="1015.16"/>
    <n v="1"/>
    <x v="1"/>
    <x v="484"/>
    <x v="6"/>
    <x v="3"/>
    <x v="0"/>
    <x v="0"/>
    <s v="01"/>
    <n v="1.999684778754088E-3"/>
    <x v="1"/>
  </r>
  <r>
    <s v="ORD100490"/>
    <s v="2024-05-12"/>
    <s v="Customer 84"/>
    <x v="1"/>
    <x v="1"/>
    <x v="2"/>
    <x v="4"/>
    <x v="6"/>
    <n v="4673.55"/>
    <n v="5"/>
    <x v="5"/>
    <x v="485"/>
    <x v="3"/>
    <x v="2"/>
    <x v="1"/>
    <x v="7"/>
    <s v="05"/>
    <n v="-9.315188668143061E-2"/>
    <x v="3"/>
  </r>
  <r>
    <s v="ORD100491"/>
    <s v="2024-08-10"/>
    <s v="Customer 136"/>
    <x v="1"/>
    <x v="1"/>
    <x v="0"/>
    <x v="1"/>
    <x v="1"/>
    <n v="2475.9"/>
    <n v="3"/>
    <x v="1"/>
    <x v="486"/>
    <x v="0"/>
    <x v="3"/>
    <x v="1"/>
    <x v="11"/>
    <s v="08"/>
    <n v="-3.072418110586049E-2"/>
    <x v="1"/>
  </r>
  <r>
    <s v="ORD100492"/>
    <s v="2025-03-31"/>
    <s v="Customer 19"/>
    <x v="1"/>
    <x v="1"/>
    <x v="1"/>
    <x v="7"/>
    <x v="16"/>
    <n v="609.57000000000005"/>
    <n v="1"/>
    <x v="6"/>
    <x v="487"/>
    <x v="7"/>
    <x v="0"/>
    <x v="0"/>
    <x v="3"/>
    <s v="03"/>
    <n v="0.19428449562806568"/>
    <x v="2"/>
  </r>
  <r>
    <s v="ORD100493"/>
    <s v="2025-09-25"/>
    <s v="Customer 186"/>
    <x v="2"/>
    <x v="6"/>
    <x v="2"/>
    <x v="4"/>
    <x v="6"/>
    <n v="1613.16"/>
    <n v="3"/>
    <x v="0"/>
    <x v="488"/>
    <x v="4"/>
    <x v="3"/>
    <x v="0"/>
    <x v="5"/>
    <s v="09"/>
    <n v="0.29830271020853477"/>
    <x v="0"/>
  </r>
  <r>
    <s v="ORD100494"/>
    <s v="2025-11-13"/>
    <s v="Customer 189"/>
    <x v="0"/>
    <x v="4"/>
    <x v="1"/>
    <x v="3"/>
    <x v="14"/>
    <n v="4130.5600000000004"/>
    <n v="8"/>
    <x v="2"/>
    <x v="489"/>
    <x v="7"/>
    <x v="3"/>
    <x v="0"/>
    <x v="10"/>
    <s v="11"/>
    <n v="0.12849589401921288"/>
    <x v="1"/>
  </r>
  <r>
    <s v="ORD100495"/>
    <s v="2024-03-12"/>
    <s v="Customer 116"/>
    <x v="3"/>
    <x v="12"/>
    <x v="1"/>
    <x v="5"/>
    <x v="24"/>
    <n v="928.89"/>
    <n v="9"/>
    <x v="3"/>
    <x v="490"/>
    <x v="8"/>
    <x v="3"/>
    <x v="1"/>
    <x v="3"/>
    <s v="03"/>
    <n v="0.29282261624088968"/>
    <x v="2"/>
  </r>
  <r>
    <s v="ORD100496"/>
    <s v="2025-06-13"/>
    <s v="Customer 9"/>
    <x v="0"/>
    <x v="4"/>
    <x v="0"/>
    <x v="1"/>
    <x v="3"/>
    <n v="2542.86"/>
    <n v="9"/>
    <x v="5"/>
    <x v="491"/>
    <x v="6"/>
    <x v="1"/>
    <x v="0"/>
    <x v="9"/>
    <s v="06"/>
    <n v="-6.7628575698229554E-2"/>
    <x v="3"/>
  </r>
  <r>
    <s v="ORD100497"/>
    <s v="2024-08-27"/>
    <s v="Customer 24"/>
    <x v="0"/>
    <x v="4"/>
    <x v="0"/>
    <x v="1"/>
    <x v="3"/>
    <n v="2045.12"/>
    <n v="2"/>
    <x v="3"/>
    <x v="492"/>
    <x v="3"/>
    <x v="3"/>
    <x v="1"/>
    <x v="11"/>
    <s v="08"/>
    <n v="0.10970016429353779"/>
    <x v="2"/>
  </r>
  <r>
    <s v="ORD100498"/>
    <s v="2024-11-24"/>
    <s v="Customer 188"/>
    <x v="3"/>
    <x v="13"/>
    <x v="2"/>
    <x v="8"/>
    <x v="18"/>
    <n v="259.10000000000002"/>
    <n v="5"/>
    <x v="6"/>
    <x v="493"/>
    <x v="9"/>
    <x v="2"/>
    <x v="1"/>
    <x v="10"/>
    <s v="11"/>
    <n v="0.2020069471246623"/>
    <x v="2"/>
  </r>
  <r>
    <s v="ORD100499"/>
    <s v="2024-12-11"/>
    <s v="Customer 175"/>
    <x v="0"/>
    <x v="9"/>
    <x v="2"/>
    <x v="8"/>
    <x v="18"/>
    <n v="3064.02"/>
    <n v="6"/>
    <x v="1"/>
    <x v="494"/>
    <x v="1"/>
    <x v="2"/>
    <x v="1"/>
    <x v="4"/>
    <s v="12"/>
    <n v="-0.14534500427542901"/>
    <x v="1"/>
  </r>
  <r>
    <s v="ORD100500"/>
    <s v="2024-03-30"/>
    <s v="Customer 46"/>
    <x v="3"/>
    <x v="14"/>
    <x v="0"/>
    <x v="0"/>
    <x v="22"/>
    <n v="4347.55"/>
    <n v="5"/>
    <x v="2"/>
    <x v="495"/>
    <x v="7"/>
    <x v="3"/>
    <x v="1"/>
    <x v="3"/>
    <s v="03"/>
    <n v="9.8294441697047749E-2"/>
    <x v="1"/>
  </r>
  <r>
    <s v="ORD100501"/>
    <s v="2025-05-28"/>
    <s v="Customer 187"/>
    <x v="2"/>
    <x v="10"/>
    <x v="0"/>
    <x v="1"/>
    <x v="1"/>
    <n v="524.20000000000005"/>
    <n v="2"/>
    <x v="3"/>
    <x v="496"/>
    <x v="3"/>
    <x v="2"/>
    <x v="0"/>
    <x v="7"/>
    <s v="05"/>
    <n v="0.20595192674551696"/>
    <x v="2"/>
  </r>
  <r>
    <s v="ORD100502"/>
    <s v="2024-12-13"/>
    <s v="Customer 35"/>
    <x v="0"/>
    <x v="4"/>
    <x v="1"/>
    <x v="5"/>
    <x v="24"/>
    <n v="948.69"/>
    <n v="3"/>
    <x v="2"/>
    <x v="497"/>
    <x v="4"/>
    <x v="1"/>
    <x v="1"/>
    <x v="4"/>
    <s v="12"/>
    <n v="6.1358294068663104E-2"/>
    <x v="1"/>
  </r>
  <r>
    <s v="ORD100503"/>
    <s v="2025-01-17"/>
    <s v="Customer 182"/>
    <x v="1"/>
    <x v="1"/>
    <x v="0"/>
    <x v="0"/>
    <x v="0"/>
    <n v="6138.48"/>
    <n v="8"/>
    <x v="1"/>
    <x v="498"/>
    <x v="1"/>
    <x v="2"/>
    <x v="0"/>
    <x v="0"/>
    <s v="01"/>
    <n v="0.11084014283666316"/>
    <x v="1"/>
  </r>
  <r>
    <s v="ORD100504"/>
    <s v="2024-10-19"/>
    <s v="Customer 190"/>
    <x v="0"/>
    <x v="0"/>
    <x v="0"/>
    <x v="0"/>
    <x v="0"/>
    <n v="1347.44"/>
    <n v="4"/>
    <x v="4"/>
    <x v="499"/>
    <x v="5"/>
    <x v="3"/>
    <x v="1"/>
    <x v="2"/>
    <s v="10"/>
    <n v="0.17935492489461496"/>
    <x v="3"/>
  </r>
  <r>
    <s v="ORD100505"/>
    <s v="2024-08-10"/>
    <s v="Customer 176"/>
    <x v="1"/>
    <x v="5"/>
    <x v="1"/>
    <x v="3"/>
    <x v="4"/>
    <n v="3934.32"/>
    <n v="6"/>
    <x v="2"/>
    <x v="500"/>
    <x v="3"/>
    <x v="1"/>
    <x v="1"/>
    <x v="11"/>
    <s v="08"/>
    <n v="-3.0505906992822136E-2"/>
    <x v="1"/>
  </r>
  <r>
    <s v="ORD100506"/>
    <s v="2025-02-26"/>
    <s v="Customer 124"/>
    <x v="2"/>
    <x v="8"/>
    <x v="2"/>
    <x v="8"/>
    <x v="12"/>
    <n v="80.19"/>
    <n v="1"/>
    <x v="2"/>
    <x v="501"/>
    <x v="5"/>
    <x v="3"/>
    <x v="0"/>
    <x v="1"/>
    <s v="02"/>
    <n v="-5.287442324479362E-2"/>
    <x v="1"/>
  </r>
  <r>
    <s v="ORD100507"/>
    <s v="2024-09-19"/>
    <s v="Customer 58"/>
    <x v="3"/>
    <x v="14"/>
    <x v="0"/>
    <x v="2"/>
    <x v="11"/>
    <n v="823.72"/>
    <n v="1"/>
    <x v="3"/>
    <x v="502"/>
    <x v="3"/>
    <x v="0"/>
    <x v="1"/>
    <x v="5"/>
    <s v="09"/>
    <n v="0.16240955664546206"/>
    <x v="2"/>
  </r>
  <r>
    <s v="ORD100508"/>
    <s v="2024-08-30"/>
    <s v="Customer 116"/>
    <x v="3"/>
    <x v="14"/>
    <x v="1"/>
    <x v="7"/>
    <x v="17"/>
    <n v="3125.1"/>
    <n v="5"/>
    <x v="4"/>
    <x v="503"/>
    <x v="6"/>
    <x v="0"/>
    <x v="1"/>
    <x v="11"/>
    <s v="08"/>
    <n v="0.11556110204473456"/>
    <x v="3"/>
  </r>
  <r>
    <s v="ORD100509"/>
    <s v="2024-03-14"/>
    <s v="Customer 153"/>
    <x v="3"/>
    <x v="15"/>
    <x v="2"/>
    <x v="8"/>
    <x v="12"/>
    <n v="6036.31"/>
    <n v="7"/>
    <x v="6"/>
    <x v="504"/>
    <x v="3"/>
    <x v="1"/>
    <x v="1"/>
    <x v="3"/>
    <s v="03"/>
    <n v="0.23344725502832028"/>
    <x v="2"/>
  </r>
  <r>
    <s v="ORD100510"/>
    <s v="2024-06-10"/>
    <s v="Customer 84"/>
    <x v="3"/>
    <x v="14"/>
    <x v="0"/>
    <x v="0"/>
    <x v="25"/>
    <n v="310.16000000000003"/>
    <n v="1"/>
    <x v="2"/>
    <x v="505"/>
    <x v="0"/>
    <x v="1"/>
    <x v="1"/>
    <x v="9"/>
    <s v="06"/>
    <n v="-3.72066030435904E-2"/>
    <x v="1"/>
  </r>
  <r>
    <s v="ORD100511"/>
    <s v="2025-11-04"/>
    <s v="Customer 125"/>
    <x v="1"/>
    <x v="5"/>
    <x v="2"/>
    <x v="8"/>
    <x v="18"/>
    <n v="1033.27"/>
    <n v="1"/>
    <x v="4"/>
    <x v="506"/>
    <x v="8"/>
    <x v="1"/>
    <x v="0"/>
    <x v="10"/>
    <s v="11"/>
    <n v="-1.9588297347256766E-2"/>
    <x v="3"/>
  </r>
  <r>
    <s v="ORD100512"/>
    <s v="2024-03-12"/>
    <s v="Customer 6"/>
    <x v="2"/>
    <x v="10"/>
    <x v="1"/>
    <x v="7"/>
    <x v="17"/>
    <n v="11825.9"/>
    <n v="10"/>
    <x v="1"/>
    <x v="507"/>
    <x v="3"/>
    <x v="1"/>
    <x v="1"/>
    <x v="3"/>
    <s v="03"/>
    <n v="0.14437463533430858"/>
    <x v="1"/>
  </r>
  <r>
    <s v="ORD100513"/>
    <s v="2025-01-04"/>
    <s v="Customer 45"/>
    <x v="2"/>
    <x v="6"/>
    <x v="2"/>
    <x v="8"/>
    <x v="12"/>
    <n v="2221.71"/>
    <n v="3"/>
    <x v="1"/>
    <x v="508"/>
    <x v="6"/>
    <x v="1"/>
    <x v="0"/>
    <x v="0"/>
    <s v="01"/>
    <n v="-0.16354519716794721"/>
    <x v="1"/>
  </r>
  <r>
    <s v="ORD100514"/>
    <s v="2025-01-04"/>
    <s v="Customer 64"/>
    <x v="2"/>
    <x v="10"/>
    <x v="0"/>
    <x v="1"/>
    <x v="3"/>
    <n v="7722.89"/>
    <n v="7"/>
    <x v="4"/>
    <x v="509"/>
    <x v="9"/>
    <x v="1"/>
    <x v="0"/>
    <x v="0"/>
    <s v="01"/>
    <n v="-2.6233702668301633E-3"/>
    <x v="3"/>
  </r>
  <r>
    <s v="ORD100515"/>
    <s v="2024-12-27"/>
    <s v="Customer 130"/>
    <x v="2"/>
    <x v="8"/>
    <x v="1"/>
    <x v="5"/>
    <x v="15"/>
    <n v="8494.7999999999993"/>
    <n v="10"/>
    <x v="3"/>
    <x v="510"/>
    <x v="5"/>
    <x v="1"/>
    <x v="1"/>
    <x v="4"/>
    <s v="12"/>
    <n v="0.3386083250929981"/>
    <x v="2"/>
  </r>
  <r>
    <s v="ORD100516"/>
    <s v="2025-12-06"/>
    <s v="Customer 183"/>
    <x v="1"/>
    <x v="11"/>
    <x v="0"/>
    <x v="0"/>
    <x v="22"/>
    <n v="1761.54"/>
    <n v="2"/>
    <x v="3"/>
    <x v="511"/>
    <x v="9"/>
    <x v="2"/>
    <x v="0"/>
    <x v="4"/>
    <s v="12"/>
    <n v="4.6430963815752131E-2"/>
    <x v="2"/>
  </r>
  <r>
    <s v="ORD100517"/>
    <s v="2025-05-19"/>
    <s v="Customer 47"/>
    <x v="3"/>
    <x v="15"/>
    <x v="0"/>
    <x v="0"/>
    <x v="25"/>
    <n v="6688.4"/>
    <n v="10"/>
    <x v="1"/>
    <x v="512"/>
    <x v="0"/>
    <x v="0"/>
    <x v="0"/>
    <x v="7"/>
    <s v="05"/>
    <n v="-0.14956940374379524"/>
    <x v="1"/>
  </r>
  <r>
    <s v="ORD100518"/>
    <s v="2024-08-07"/>
    <s v="Customer 6"/>
    <x v="1"/>
    <x v="2"/>
    <x v="0"/>
    <x v="1"/>
    <x v="1"/>
    <n v="10965.9"/>
    <n v="10"/>
    <x v="0"/>
    <x v="513"/>
    <x v="9"/>
    <x v="0"/>
    <x v="1"/>
    <x v="11"/>
    <s v="08"/>
    <n v="0.10381637622083004"/>
    <x v="0"/>
  </r>
  <r>
    <s v="ORD100519"/>
    <s v="2025-10-09"/>
    <s v="Customer 55"/>
    <x v="2"/>
    <x v="6"/>
    <x v="2"/>
    <x v="4"/>
    <x v="26"/>
    <n v="800.77"/>
    <n v="1"/>
    <x v="2"/>
    <x v="514"/>
    <x v="9"/>
    <x v="0"/>
    <x v="0"/>
    <x v="2"/>
    <s v="10"/>
    <n v="-9.5083482148432139E-2"/>
    <x v="1"/>
  </r>
  <r>
    <s v="ORD100520"/>
    <s v="2024-04-01"/>
    <s v="Customer 49"/>
    <x v="3"/>
    <x v="12"/>
    <x v="2"/>
    <x v="4"/>
    <x v="26"/>
    <n v="2831.04"/>
    <n v="3"/>
    <x v="6"/>
    <x v="515"/>
    <x v="1"/>
    <x v="0"/>
    <x v="1"/>
    <x v="8"/>
    <s v="04"/>
    <n v="0.23639369277721262"/>
    <x v="2"/>
  </r>
  <r>
    <s v="ORD100521"/>
    <s v="2025-03-15"/>
    <s v="Customer 96"/>
    <x v="2"/>
    <x v="8"/>
    <x v="2"/>
    <x v="8"/>
    <x v="18"/>
    <n v="4318.88"/>
    <n v="8"/>
    <x v="1"/>
    <x v="516"/>
    <x v="4"/>
    <x v="2"/>
    <x v="0"/>
    <x v="3"/>
    <s v="03"/>
    <n v="-5.4678527766457971E-2"/>
    <x v="1"/>
  </r>
  <r>
    <s v="ORD100522"/>
    <s v="2025-09-27"/>
    <s v="Customer 189"/>
    <x v="3"/>
    <x v="12"/>
    <x v="0"/>
    <x v="0"/>
    <x v="22"/>
    <n v="3093.09"/>
    <n v="7"/>
    <x v="3"/>
    <x v="517"/>
    <x v="5"/>
    <x v="1"/>
    <x v="0"/>
    <x v="5"/>
    <s v="09"/>
    <n v="-4.8634213682757374E-2"/>
    <x v="2"/>
  </r>
  <r>
    <s v="ORD100523"/>
    <s v="2024-09-25"/>
    <s v="Customer 171"/>
    <x v="3"/>
    <x v="12"/>
    <x v="2"/>
    <x v="8"/>
    <x v="18"/>
    <n v="4013.76"/>
    <n v="6"/>
    <x v="5"/>
    <x v="518"/>
    <x v="7"/>
    <x v="0"/>
    <x v="1"/>
    <x v="5"/>
    <s v="09"/>
    <n v="3.7570756597305272E-2"/>
    <x v="3"/>
  </r>
  <r>
    <s v="ORD100524"/>
    <s v="2024-10-09"/>
    <s v="Customer 99"/>
    <x v="2"/>
    <x v="6"/>
    <x v="0"/>
    <x v="1"/>
    <x v="1"/>
    <n v="3529.1"/>
    <n v="5"/>
    <x v="6"/>
    <x v="519"/>
    <x v="2"/>
    <x v="2"/>
    <x v="1"/>
    <x v="2"/>
    <s v="10"/>
    <n v="0.32177042305403641"/>
    <x v="2"/>
  </r>
  <r>
    <s v="ORD100525"/>
    <s v="2024-01-08"/>
    <s v="Customer 55"/>
    <x v="1"/>
    <x v="2"/>
    <x v="0"/>
    <x v="0"/>
    <x v="22"/>
    <n v="2052.7199999999998"/>
    <n v="9"/>
    <x v="1"/>
    <x v="520"/>
    <x v="5"/>
    <x v="2"/>
    <x v="1"/>
    <x v="0"/>
    <s v="01"/>
    <n v="0.16122997778557233"/>
    <x v="1"/>
  </r>
  <r>
    <s v="ORD100526"/>
    <s v="2025-10-07"/>
    <s v="Customer 84"/>
    <x v="3"/>
    <x v="14"/>
    <x v="1"/>
    <x v="3"/>
    <x v="5"/>
    <n v="4233.0600000000004"/>
    <n v="6"/>
    <x v="1"/>
    <x v="521"/>
    <x v="1"/>
    <x v="0"/>
    <x v="0"/>
    <x v="2"/>
    <s v="10"/>
    <n v="3.7594553349113873E-2"/>
    <x v="1"/>
  </r>
  <r>
    <s v="ORD100527"/>
    <s v="2025-11-02"/>
    <s v="Customer 116"/>
    <x v="1"/>
    <x v="5"/>
    <x v="2"/>
    <x v="4"/>
    <x v="26"/>
    <n v="8134.63"/>
    <n v="7"/>
    <x v="1"/>
    <x v="522"/>
    <x v="2"/>
    <x v="0"/>
    <x v="0"/>
    <x v="10"/>
    <s v="11"/>
    <n v="5.8806608290727418E-2"/>
    <x v="1"/>
  </r>
  <r>
    <s v="ORD100528"/>
    <s v="2024-09-13"/>
    <s v="Customer 122"/>
    <x v="0"/>
    <x v="9"/>
    <x v="1"/>
    <x v="5"/>
    <x v="7"/>
    <n v="2526.3000000000002"/>
    <n v="7"/>
    <x v="5"/>
    <x v="523"/>
    <x v="0"/>
    <x v="3"/>
    <x v="1"/>
    <x v="5"/>
    <s v="09"/>
    <n v="0.28461782052804496"/>
    <x v="3"/>
  </r>
  <r>
    <s v="ORD100529"/>
    <s v="2025-09-28"/>
    <s v="Customer 154"/>
    <x v="0"/>
    <x v="7"/>
    <x v="1"/>
    <x v="5"/>
    <x v="7"/>
    <n v="2790.24"/>
    <n v="8"/>
    <x v="3"/>
    <x v="524"/>
    <x v="8"/>
    <x v="2"/>
    <x v="0"/>
    <x v="5"/>
    <s v="09"/>
    <n v="-2.0636217673031712E-2"/>
    <x v="2"/>
  </r>
  <r>
    <s v="ORD100530"/>
    <s v="2024-10-11"/>
    <s v="Customer 190"/>
    <x v="1"/>
    <x v="2"/>
    <x v="2"/>
    <x v="6"/>
    <x v="23"/>
    <n v="3135.06"/>
    <n v="9"/>
    <x v="4"/>
    <x v="525"/>
    <x v="6"/>
    <x v="2"/>
    <x v="1"/>
    <x v="2"/>
    <s v="10"/>
    <n v="-8.9787755258272567E-2"/>
    <x v="3"/>
  </r>
  <r>
    <s v="ORD100531"/>
    <s v="2025-12-09"/>
    <s v="Customer 149"/>
    <x v="2"/>
    <x v="8"/>
    <x v="0"/>
    <x v="2"/>
    <x v="21"/>
    <n v="8340.85"/>
    <n v="7"/>
    <x v="4"/>
    <x v="526"/>
    <x v="6"/>
    <x v="3"/>
    <x v="0"/>
    <x v="4"/>
    <s v="12"/>
    <n v="0.21798737538740057"/>
    <x v="3"/>
  </r>
  <r>
    <s v="ORD100532"/>
    <s v="2025-06-12"/>
    <s v="Customer 128"/>
    <x v="0"/>
    <x v="0"/>
    <x v="0"/>
    <x v="1"/>
    <x v="1"/>
    <n v="217.53"/>
    <n v="1"/>
    <x v="6"/>
    <x v="527"/>
    <x v="3"/>
    <x v="2"/>
    <x v="0"/>
    <x v="9"/>
    <s v="06"/>
    <n v="0.310072173953018"/>
    <x v="2"/>
  </r>
  <r>
    <s v="ORD100533"/>
    <s v="2024-06-05"/>
    <s v="Customer 71"/>
    <x v="1"/>
    <x v="5"/>
    <x v="0"/>
    <x v="1"/>
    <x v="1"/>
    <n v="2001.48"/>
    <n v="3"/>
    <x v="0"/>
    <x v="528"/>
    <x v="6"/>
    <x v="3"/>
    <x v="1"/>
    <x v="9"/>
    <s v="06"/>
    <n v="0.36427043987449287"/>
    <x v="0"/>
  </r>
  <r>
    <s v="ORD100534"/>
    <s v="2024-06-12"/>
    <s v="Customer 108"/>
    <x v="2"/>
    <x v="3"/>
    <x v="1"/>
    <x v="5"/>
    <x v="7"/>
    <n v="1284.8"/>
    <n v="10"/>
    <x v="4"/>
    <x v="529"/>
    <x v="7"/>
    <x v="0"/>
    <x v="1"/>
    <x v="9"/>
    <s v="06"/>
    <n v="0.20403175591531755"/>
    <x v="3"/>
  </r>
  <r>
    <s v="ORD100535"/>
    <s v="2024-12-26"/>
    <s v="Customer 192"/>
    <x v="0"/>
    <x v="4"/>
    <x v="0"/>
    <x v="1"/>
    <x v="1"/>
    <n v="1904.5"/>
    <n v="5"/>
    <x v="2"/>
    <x v="530"/>
    <x v="7"/>
    <x v="1"/>
    <x v="1"/>
    <x v="4"/>
    <s v="12"/>
    <n v="-0.19471777369388291"/>
    <x v="1"/>
  </r>
  <r>
    <s v="ORD100536"/>
    <s v="2024-12-03"/>
    <s v="Customer 152"/>
    <x v="0"/>
    <x v="0"/>
    <x v="1"/>
    <x v="3"/>
    <x v="14"/>
    <n v="3844.15"/>
    <n v="5"/>
    <x v="4"/>
    <x v="531"/>
    <x v="3"/>
    <x v="1"/>
    <x v="1"/>
    <x v="4"/>
    <s v="12"/>
    <n v="7.435974142528258E-2"/>
    <x v="3"/>
  </r>
  <r>
    <s v="ORD100537"/>
    <s v="2024-06-28"/>
    <s v="Customer 175"/>
    <x v="1"/>
    <x v="2"/>
    <x v="2"/>
    <x v="8"/>
    <x v="12"/>
    <n v="3909.96"/>
    <n v="9"/>
    <x v="0"/>
    <x v="210"/>
    <x v="2"/>
    <x v="2"/>
    <x v="1"/>
    <x v="9"/>
    <s v="06"/>
    <n v="0.22322990516527025"/>
    <x v="0"/>
  </r>
  <r>
    <s v="ORD100538"/>
    <s v="2024-12-21"/>
    <s v="Customer 102"/>
    <x v="0"/>
    <x v="7"/>
    <x v="0"/>
    <x v="1"/>
    <x v="19"/>
    <n v="7361.84"/>
    <n v="8"/>
    <x v="6"/>
    <x v="532"/>
    <x v="0"/>
    <x v="0"/>
    <x v="1"/>
    <x v="4"/>
    <s v="12"/>
    <n v="7.1291959618790951E-2"/>
    <x v="2"/>
  </r>
  <r>
    <s v="ORD100539"/>
    <s v="2024-04-29"/>
    <s v="Customer 158"/>
    <x v="0"/>
    <x v="4"/>
    <x v="0"/>
    <x v="2"/>
    <x v="11"/>
    <n v="2156.88"/>
    <n v="3"/>
    <x v="3"/>
    <x v="533"/>
    <x v="5"/>
    <x v="2"/>
    <x v="1"/>
    <x v="8"/>
    <s v="04"/>
    <n v="0.10113219094247246"/>
    <x v="2"/>
  </r>
  <r>
    <s v="ORD100540"/>
    <s v="2025-12-19"/>
    <s v="Customer 31"/>
    <x v="1"/>
    <x v="11"/>
    <x v="2"/>
    <x v="8"/>
    <x v="12"/>
    <n v="3635.45"/>
    <n v="7"/>
    <x v="1"/>
    <x v="534"/>
    <x v="1"/>
    <x v="1"/>
    <x v="0"/>
    <x v="4"/>
    <s v="12"/>
    <n v="2.8901511504765571E-2"/>
    <x v="1"/>
  </r>
  <r>
    <s v="ORD100541"/>
    <s v="2024-12-09"/>
    <s v="Customer 21"/>
    <x v="0"/>
    <x v="7"/>
    <x v="2"/>
    <x v="4"/>
    <x v="6"/>
    <n v="8849.25"/>
    <n v="9"/>
    <x v="5"/>
    <x v="535"/>
    <x v="5"/>
    <x v="3"/>
    <x v="1"/>
    <x v="4"/>
    <s v="12"/>
    <n v="-5.6701980393818685E-2"/>
    <x v="3"/>
  </r>
  <r>
    <s v="ORD100542"/>
    <s v="2024-06-18"/>
    <s v="Customer 22"/>
    <x v="0"/>
    <x v="0"/>
    <x v="1"/>
    <x v="5"/>
    <x v="24"/>
    <n v="1021.31"/>
    <n v="1"/>
    <x v="1"/>
    <x v="536"/>
    <x v="7"/>
    <x v="0"/>
    <x v="1"/>
    <x v="9"/>
    <s v="06"/>
    <n v="-0.19928327344293115"/>
    <x v="1"/>
  </r>
  <r>
    <s v="ORD100543"/>
    <s v="2024-06-08"/>
    <s v="Customer 189"/>
    <x v="1"/>
    <x v="2"/>
    <x v="0"/>
    <x v="1"/>
    <x v="19"/>
    <n v="3788.4"/>
    <n v="7"/>
    <x v="6"/>
    <x v="537"/>
    <x v="9"/>
    <x v="1"/>
    <x v="1"/>
    <x v="9"/>
    <s v="06"/>
    <n v="0.37215711118150147"/>
    <x v="2"/>
  </r>
  <r>
    <s v="ORD100544"/>
    <s v="2024-09-22"/>
    <s v="Customer 155"/>
    <x v="2"/>
    <x v="10"/>
    <x v="1"/>
    <x v="5"/>
    <x v="7"/>
    <n v="478.08"/>
    <n v="8"/>
    <x v="1"/>
    <x v="538"/>
    <x v="6"/>
    <x v="1"/>
    <x v="1"/>
    <x v="5"/>
    <s v="09"/>
    <n v="-0.12621318607764392"/>
    <x v="1"/>
  </r>
  <r>
    <s v="ORD100545"/>
    <s v="2025-12-06"/>
    <s v="Customer 190"/>
    <x v="1"/>
    <x v="2"/>
    <x v="2"/>
    <x v="6"/>
    <x v="13"/>
    <n v="274.41000000000003"/>
    <n v="1"/>
    <x v="3"/>
    <x v="539"/>
    <x v="2"/>
    <x v="1"/>
    <x v="0"/>
    <x v="4"/>
    <s v="12"/>
    <n v="6.2461280565577051E-2"/>
    <x v="2"/>
  </r>
  <r>
    <s v="ORD100546"/>
    <s v="2025-09-26"/>
    <s v="Customer 161"/>
    <x v="2"/>
    <x v="8"/>
    <x v="1"/>
    <x v="3"/>
    <x v="4"/>
    <n v="8345.7000000000007"/>
    <n v="9"/>
    <x v="0"/>
    <x v="540"/>
    <x v="9"/>
    <x v="2"/>
    <x v="0"/>
    <x v="5"/>
    <s v="09"/>
    <n v="0.13123764333728746"/>
    <x v="0"/>
  </r>
  <r>
    <s v="ORD100547"/>
    <s v="2025-09-25"/>
    <s v="Customer 119"/>
    <x v="3"/>
    <x v="12"/>
    <x v="1"/>
    <x v="7"/>
    <x v="17"/>
    <n v="1964.58"/>
    <n v="2"/>
    <x v="2"/>
    <x v="541"/>
    <x v="8"/>
    <x v="0"/>
    <x v="0"/>
    <x v="5"/>
    <s v="09"/>
    <n v="-0.1683158741308575"/>
    <x v="1"/>
  </r>
  <r>
    <s v="ORD100548"/>
    <s v="2024-06-20"/>
    <s v="Customer 164"/>
    <x v="0"/>
    <x v="4"/>
    <x v="2"/>
    <x v="6"/>
    <x v="13"/>
    <n v="1921.92"/>
    <n v="8"/>
    <x v="0"/>
    <x v="542"/>
    <x v="4"/>
    <x v="2"/>
    <x v="1"/>
    <x v="9"/>
    <s v="06"/>
    <n v="0.2447448384948385"/>
    <x v="0"/>
  </r>
  <r>
    <s v="ORD100549"/>
    <s v="2025-10-18"/>
    <s v="Customer 156"/>
    <x v="2"/>
    <x v="6"/>
    <x v="0"/>
    <x v="1"/>
    <x v="1"/>
    <n v="366.1"/>
    <n v="5"/>
    <x v="0"/>
    <x v="543"/>
    <x v="7"/>
    <x v="0"/>
    <x v="0"/>
    <x v="2"/>
    <s v="10"/>
    <n v="0.29054903031958479"/>
    <x v="0"/>
  </r>
  <r>
    <s v="ORD100550"/>
    <s v="2024-04-23"/>
    <s v="Customer 192"/>
    <x v="1"/>
    <x v="11"/>
    <x v="1"/>
    <x v="7"/>
    <x v="16"/>
    <n v="5232.2"/>
    <n v="10"/>
    <x v="3"/>
    <x v="544"/>
    <x v="7"/>
    <x v="0"/>
    <x v="1"/>
    <x v="8"/>
    <s v="04"/>
    <n v="1.0446848362065671E-2"/>
    <x v="2"/>
  </r>
  <r>
    <s v="ORD100551"/>
    <s v="2024-08-26"/>
    <s v="Customer 6"/>
    <x v="3"/>
    <x v="14"/>
    <x v="0"/>
    <x v="0"/>
    <x v="0"/>
    <n v="2300.04"/>
    <n v="9"/>
    <x v="5"/>
    <x v="545"/>
    <x v="8"/>
    <x v="3"/>
    <x v="1"/>
    <x v="11"/>
    <s v="08"/>
    <n v="1.811707622476131E-2"/>
    <x v="3"/>
  </r>
  <r>
    <s v="ORD100552"/>
    <s v="2025-10-24"/>
    <s v="Customer 143"/>
    <x v="2"/>
    <x v="10"/>
    <x v="2"/>
    <x v="8"/>
    <x v="20"/>
    <n v="713.92"/>
    <n v="4"/>
    <x v="2"/>
    <x v="546"/>
    <x v="9"/>
    <x v="0"/>
    <x v="0"/>
    <x v="2"/>
    <s v="10"/>
    <n v="-0.11361216943074855"/>
    <x v="1"/>
  </r>
  <r>
    <s v="ORD100553"/>
    <s v="2024-09-06"/>
    <s v="Customer 47"/>
    <x v="0"/>
    <x v="9"/>
    <x v="0"/>
    <x v="0"/>
    <x v="25"/>
    <n v="9642"/>
    <n v="10"/>
    <x v="6"/>
    <x v="547"/>
    <x v="7"/>
    <x v="1"/>
    <x v="1"/>
    <x v="5"/>
    <s v="09"/>
    <n v="0.32346297448662104"/>
    <x v="2"/>
  </r>
  <r>
    <s v="ORD100554"/>
    <s v="2024-11-30"/>
    <s v="Customer 7"/>
    <x v="0"/>
    <x v="4"/>
    <x v="1"/>
    <x v="3"/>
    <x v="5"/>
    <n v="6976.6"/>
    <n v="10"/>
    <x v="3"/>
    <x v="548"/>
    <x v="7"/>
    <x v="1"/>
    <x v="1"/>
    <x v="10"/>
    <s v="11"/>
    <n v="1.4975776166040764E-2"/>
    <x v="2"/>
  </r>
  <r>
    <s v="ORD100555"/>
    <s v="2025-04-05"/>
    <s v="Customer 167"/>
    <x v="1"/>
    <x v="1"/>
    <x v="2"/>
    <x v="8"/>
    <x v="18"/>
    <n v="730.54"/>
    <n v="1"/>
    <x v="2"/>
    <x v="549"/>
    <x v="4"/>
    <x v="2"/>
    <x v="0"/>
    <x v="8"/>
    <s v="04"/>
    <n v="-7.1344484901579658E-2"/>
    <x v="1"/>
  </r>
  <r>
    <s v="ORD100556"/>
    <s v="2025-06-01"/>
    <s v="Customer 60"/>
    <x v="3"/>
    <x v="14"/>
    <x v="0"/>
    <x v="1"/>
    <x v="19"/>
    <n v="11849.4"/>
    <n v="10"/>
    <x v="6"/>
    <x v="550"/>
    <x v="2"/>
    <x v="3"/>
    <x v="0"/>
    <x v="9"/>
    <s v="06"/>
    <n v="0.25701723294006451"/>
    <x v="2"/>
  </r>
  <r>
    <s v="ORD100557"/>
    <s v="2024-03-12"/>
    <s v="Customer 197"/>
    <x v="1"/>
    <x v="2"/>
    <x v="2"/>
    <x v="8"/>
    <x v="18"/>
    <n v="5109.68"/>
    <n v="8"/>
    <x v="5"/>
    <x v="551"/>
    <x v="7"/>
    <x v="3"/>
    <x v="1"/>
    <x v="3"/>
    <s v="03"/>
    <n v="0.206144024674735"/>
    <x v="3"/>
  </r>
  <r>
    <s v="ORD100558"/>
    <s v="2024-09-24"/>
    <s v="Customer 147"/>
    <x v="2"/>
    <x v="8"/>
    <x v="1"/>
    <x v="3"/>
    <x v="5"/>
    <n v="3538.53"/>
    <n v="9"/>
    <x v="6"/>
    <x v="552"/>
    <x v="4"/>
    <x v="1"/>
    <x v="1"/>
    <x v="5"/>
    <s v="09"/>
    <n v="0.3394799535400293"/>
    <x v="2"/>
  </r>
  <r>
    <s v="ORD100559"/>
    <s v="2024-08-14"/>
    <s v="Customer 84"/>
    <x v="3"/>
    <x v="13"/>
    <x v="2"/>
    <x v="6"/>
    <x v="13"/>
    <n v="329.82"/>
    <n v="3"/>
    <x v="2"/>
    <x v="553"/>
    <x v="2"/>
    <x v="0"/>
    <x v="1"/>
    <x v="11"/>
    <s v="08"/>
    <n v="0.13986416833424292"/>
    <x v="1"/>
  </r>
  <r>
    <s v="ORD100560"/>
    <s v="2025-06-19"/>
    <s v="Customer 193"/>
    <x v="1"/>
    <x v="5"/>
    <x v="1"/>
    <x v="7"/>
    <x v="9"/>
    <n v="7660"/>
    <n v="10"/>
    <x v="2"/>
    <x v="554"/>
    <x v="0"/>
    <x v="2"/>
    <x v="0"/>
    <x v="9"/>
    <s v="06"/>
    <n v="-0.102088772845953"/>
    <x v="1"/>
  </r>
  <r>
    <s v="ORD100561"/>
    <s v="2025-02-11"/>
    <s v="Customer 59"/>
    <x v="0"/>
    <x v="4"/>
    <x v="2"/>
    <x v="4"/>
    <x v="26"/>
    <n v="6266.26"/>
    <n v="7"/>
    <x v="2"/>
    <x v="555"/>
    <x v="1"/>
    <x v="1"/>
    <x v="0"/>
    <x v="1"/>
    <s v="02"/>
    <n v="0.14723295873455619"/>
    <x v="1"/>
  </r>
  <r>
    <s v="ORD100562"/>
    <s v="2025-07-04"/>
    <s v="Customer 173"/>
    <x v="2"/>
    <x v="10"/>
    <x v="1"/>
    <x v="7"/>
    <x v="9"/>
    <n v="541.08000000000004"/>
    <n v="1"/>
    <x v="3"/>
    <x v="556"/>
    <x v="9"/>
    <x v="0"/>
    <x v="0"/>
    <x v="6"/>
    <s v="07"/>
    <n v="0.20104235972499443"/>
    <x v="2"/>
  </r>
  <r>
    <s v="ORD100563"/>
    <s v="2024-09-29"/>
    <s v="Customer 97"/>
    <x v="2"/>
    <x v="10"/>
    <x v="0"/>
    <x v="1"/>
    <x v="3"/>
    <n v="6984.72"/>
    <n v="6"/>
    <x v="0"/>
    <x v="557"/>
    <x v="8"/>
    <x v="1"/>
    <x v="1"/>
    <x v="5"/>
    <s v="09"/>
    <n v="0.30335503785405854"/>
    <x v="0"/>
  </r>
  <r>
    <s v="ORD100564"/>
    <s v="2025-01-07"/>
    <s v="Customer 27"/>
    <x v="3"/>
    <x v="14"/>
    <x v="0"/>
    <x v="1"/>
    <x v="3"/>
    <n v="656.9"/>
    <n v="5"/>
    <x v="6"/>
    <x v="558"/>
    <x v="7"/>
    <x v="2"/>
    <x v="0"/>
    <x v="0"/>
    <s v="01"/>
    <n v="0.36988887197442533"/>
    <x v="2"/>
  </r>
  <r>
    <s v="ORD100565"/>
    <s v="2025-04-01"/>
    <s v="Customer 17"/>
    <x v="3"/>
    <x v="15"/>
    <x v="1"/>
    <x v="5"/>
    <x v="24"/>
    <n v="4073.23"/>
    <n v="7"/>
    <x v="1"/>
    <x v="559"/>
    <x v="4"/>
    <x v="2"/>
    <x v="0"/>
    <x v="8"/>
    <s v="04"/>
    <n v="-8.4063507339384225E-2"/>
    <x v="1"/>
  </r>
  <r>
    <s v="ORD100566"/>
    <s v="2024-06-10"/>
    <s v="Customer 17"/>
    <x v="2"/>
    <x v="3"/>
    <x v="2"/>
    <x v="8"/>
    <x v="12"/>
    <n v="2134.12"/>
    <n v="2"/>
    <x v="4"/>
    <x v="560"/>
    <x v="2"/>
    <x v="0"/>
    <x v="1"/>
    <x v="9"/>
    <s v="06"/>
    <n v="3.0302888309935713E-2"/>
    <x v="3"/>
  </r>
  <r>
    <s v="ORD100567"/>
    <s v="2024-02-23"/>
    <s v="Customer 101"/>
    <x v="3"/>
    <x v="15"/>
    <x v="0"/>
    <x v="0"/>
    <x v="0"/>
    <n v="3297.12"/>
    <n v="8"/>
    <x v="0"/>
    <x v="561"/>
    <x v="1"/>
    <x v="2"/>
    <x v="1"/>
    <x v="1"/>
    <s v="02"/>
    <n v="0.34972946086281359"/>
    <x v="0"/>
  </r>
  <r>
    <s v="ORD100568"/>
    <s v="2024-10-10"/>
    <s v="Customer 59"/>
    <x v="3"/>
    <x v="12"/>
    <x v="2"/>
    <x v="6"/>
    <x v="23"/>
    <n v="2884.64"/>
    <n v="4"/>
    <x v="0"/>
    <x v="562"/>
    <x v="3"/>
    <x v="2"/>
    <x v="1"/>
    <x v="2"/>
    <s v="10"/>
    <n v="0.25455516112929172"/>
    <x v="0"/>
  </r>
  <r>
    <s v="ORD100569"/>
    <s v="2025-04-26"/>
    <s v="Customer 194"/>
    <x v="2"/>
    <x v="10"/>
    <x v="0"/>
    <x v="0"/>
    <x v="22"/>
    <n v="2458.56"/>
    <n v="6"/>
    <x v="4"/>
    <x v="563"/>
    <x v="0"/>
    <x v="3"/>
    <x v="0"/>
    <x v="8"/>
    <s v="04"/>
    <n v="-7.8586652349342714E-2"/>
    <x v="3"/>
  </r>
  <r>
    <s v="ORD100570"/>
    <s v="2025-11-24"/>
    <s v="Customer 23"/>
    <x v="1"/>
    <x v="2"/>
    <x v="0"/>
    <x v="0"/>
    <x v="22"/>
    <n v="2110.1999999999998"/>
    <n v="6"/>
    <x v="6"/>
    <x v="564"/>
    <x v="4"/>
    <x v="2"/>
    <x v="0"/>
    <x v="10"/>
    <s v="11"/>
    <n v="0.30725997535778604"/>
    <x v="2"/>
  </r>
  <r>
    <s v="ORD100571"/>
    <s v="2025-05-04"/>
    <s v="Customer 134"/>
    <x v="2"/>
    <x v="10"/>
    <x v="1"/>
    <x v="3"/>
    <x v="14"/>
    <n v="2165.15"/>
    <n v="5"/>
    <x v="6"/>
    <x v="565"/>
    <x v="3"/>
    <x v="2"/>
    <x v="0"/>
    <x v="7"/>
    <s v="05"/>
    <n v="5.77327205967254E-2"/>
    <x v="2"/>
  </r>
  <r>
    <s v="ORD100572"/>
    <s v="2025-07-24"/>
    <s v="Customer 140"/>
    <x v="0"/>
    <x v="9"/>
    <x v="1"/>
    <x v="5"/>
    <x v="15"/>
    <n v="7786.98"/>
    <n v="9"/>
    <x v="1"/>
    <x v="566"/>
    <x v="0"/>
    <x v="0"/>
    <x v="0"/>
    <x v="6"/>
    <s v="07"/>
    <n v="0.19161472098297413"/>
    <x v="1"/>
  </r>
  <r>
    <s v="ORD100573"/>
    <s v="2024-07-07"/>
    <s v="Customer 6"/>
    <x v="3"/>
    <x v="15"/>
    <x v="1"/>
    <x v="3"/>
    <x v="4"/>
    <n v="735.29"/>
    <n v="1"/>
    <x v="0"/>
    <x v="567"/>
    <x v="5"/>
    <x v="0"/>
    <x v="1"/>
    <x v="6"/>
    <s v="07"/>
    <n v="0.25965265405486271"/>
    <x v="0"/>
  </r>
  <r>
    <s v="ORD100574"/>
    <s v="2025-03-19"/>
    <s v="Customer 164"/>
    <x v="2"/>
    <x v="8"/>
    <x v="2"/>
    <x v="6"/>
    <x v="23"/>
    <n v="4776.4399999999996"/>
    <n v="4"/>
    <x v="6"/>
    <x v="568"/>
    <x v="7"/>
    <x v="1"/>
    <x v="0"/>
    <x v="3"/>
    <s v="03"/>
    <n v="0.15873118891894383"/>
    <x v="2"/>
  </r>
  <r>
    <s v="ORD100575"/>
    <s v="2024-07-15"/>
    <s v="Customer 134"/>
    <x v="3"/>
    <x v="12"/>
    <x v="2"/>
    <x v="4"/>
    <x v="26"/>
    <n v="11398.4"/>
    <n v="10"/>
    <x v="2"/>
    <x v="569"/>
    <x v="9"/>
    <x v="1"/>
    <x v="1"/>
    <x v="6"/>
    <s v="07"/>
    <n v="-0.2224478874227962"/>
    <x v="1"/>
  </r>
  <r>
    <s v="ORD100576"/>
    <s v="2024-10-11"/>
    <s v="Customer 152"/>
    <x v="3"/>
    <x v="13"/>
    <x v="2"/>
    <x v="6"/>
    <x v="8"/>
    <n v="6016.02"/>
    <n v="6"/>
    <x v="0"/>
    <x v="570"/>
    <x v="6"/>
    <x v="3"/>
    <x v="1"/>
    <x v="2"/>
    <s v="10"/>
    <n v="0.19681284304241009"/>
    <x v="0"/>
  </r>
  <r>
    <s v="ORD100577"/>
    <s v="2024-12-15"/>
    <s v="Customer 61"/>
    <x v="1"/>
    <x v="1"/>
    <x v="1"/>
    <x v="3"/>
    <x v="4"/>
    <n v="2420.4299999999998"/>
    <n v="3"/>
    <x v="6"/>
    <x v="571"/>
    <x v="8"/>
    <x v="0"/>
    <x v="1"/>
    <x v="4"/>
    <s v="12"/>
    <n v="0.11297166206004719"/>
    <x v="2"/>
  </r>
  <r>
    <s v="ORD100578"/>
    <s v="2025-11-09"/>
    <s v="Customer 165"/>
    <x v="0"/>
    <x v="7"/>
    <x v="2"/>
    <x v="6"/>
    <x v="13"/>
    <n v="1615.76"/>
    <n v="2"/>
    <x v="0"/>
    <x v="572"/>
    <x v="9"/>
    <x v="2"/>
    <x v="0"/>
    <x v="10"/>
    <s v="11"/>
    <n v="0.44019532603852057"/>
    <x v="0"/>
  </r>
  <r>
    <s v="ORD100579"/>
    <s v="2025-04-14"/>
    <s v="Customer 158"/>
    <x v="2"/>
    <x v="3"/>
    <x v="1"/>
    <x v="5"/>
    <x v="24"/>
    <n v="2312.31"/>
    <n v="3"/>
    <x v="1"/>
    <x v="573"/>
    <x v="0"/>
    <x v="0"/>
    <x v="0"/>
    <x v="8"/>
    <s v="04"/>
    <n v="-1.1473375109738747E-2"/>
    <x v="1"/>
  </r>
  <r>
    <s v="ORD100580"/>
    <s v="2024-08-04"/>
    <s v="Customer 189"/>
    <x v="1"/>
    <x v="1"/>
    <x v="2"/>
    <x v="6"/>
    <x v="23"/>
    <n v="235.8"/>
    <n v="9"/>
    <x v="4"/>
    <x v="574"/>
    <x v="4"/>
    <x v="2"/>
    <x v="1"/>
    <x v="11"/>
    <s v="08"/>
    <n v="-8.910093299406277E-2"/>
    <x v="3"/>
  </r>
  <r>
    <s v="ORD100581"/>
    <s v="2025-09-03"/>
    <s v="Customer 62"/>
    <x v="3"/>
    <x v="13"/>
    <x v="0"/>
    <x v="2"/>
    <x v="2"/>
    <n v="1544.34"/>
    <n v="3"/>
    <x v="0"/>
    <x v="575"/>
    <x v="9"/>
    <x v="0"/>
    <x v="0"/>
    <x v="5"/>
    <s v="09"/>
    <n v="0.10172630379320616"/>
    <x v="0"/>
  </r>
  <r>
    <s v="ORD100582"/>
    <s v="2025-01-29"/>
    <s v="Customer 98"/>
    <x v="0"/>
    <x v="7"/>
    <x v="2"/>
    <x v="8"/>
    <x v="12"/>
    <n v="5492.3"/>
    <n v="10"/>
    <x v="5"/>
    <x v="576"/>
    <x v="6"/>
    <x v="0"/>
    <x v="0"/>
    <x v="0"/>
    <s v="01"/>
    <n v="7.1279791708391743E-2"/>
    <x v="3"/>
  </r>
  <r>
    <s v="ORD100583"/>
    <s v="2024-07-18"/>
    <s v="Customer 132"/>
    <x v="0"/>
    <x v="7"/>
    <x v="2"/>
    <x v="6"/>
    <x v="13"/>
    <n v="1119.06"/>
    <n v="6"/>
    <x v="0"/>
    <x v="577"/>
    <x v="2"/>
    <x v="2"/>
    <x v="1"/>
    <x v="6"/>
    <s v="07"/>
    <n v="0.17061641020141907"/>
    <x v="0"/>
  </r>
  <r>
    <s v="ORD100584"/>
    <s v="2024-02-05"/>
    <s v="Customer 11"/>
    <x v="2"/>
    <x v="8"/>
    <x v="2"/>
    <x v="8"/>
    <x v="12"/>
    <n v="177.39"/>
    <n v="3"/>
    <x v="5"/>
    <x v="578"/>
    <x v="5"/>
    <x v="0"/>
    <x v="1"/>
    <x v="1"/>
    <s v="02"/>
    <n v="0.11832685044252776"/>
    <x v="3"/>
  </r>
  <r>
    <s v="ORD100585"/>
    <s v="2024-08-04"/>
    <s v="Customer 45"/>
    <x v="2"/>
    <x v="10"/>
    <x v="1"/>
    <x v="5"/>
    <x v="15"/>
    <n v="516.47"/>
    <n v="1"/>
    <x v="0"/>
    <x v="579"/>
    <x v="0"/>
    <x v="0"/>
    <x v="1"/>
    <x v="11"/>
    <s v="08"/>
    <n v="6.8077526284198497E-2"/>
    <x v="0"/>
  </r>
  <r>
    <s v="ORD100586"/>
    <s v="2024-05-15"/>
    <s v="Customer 24"/>
    <x v="3"/>
    <x v="13"/>
    <x v="0"/>
    <x v="0"/>
    <x v="0"/>
    <n v="3250.38"/>
    <n v="7"/>
    <x v="6"/>
    <x v="580"/>
    <x v="8"/>
    <x v="0"/>
    <x v="1"/>
    <x v="7"/>
    <s v="05"/>
    <n v="0.30453977688762546"/>
    <x v="2"/>
  </r>
  <r>
    <s v="ORD100587"/>
    <s v="2025-08-27"/>
    <s v="Customer 71"/>
    <x v="2"/>
    <x v="10"/>
    <x v="0"/>
    <x v="2"/>
    <x v="21"/>
    <n v="1838.61"/>
    <n v="9"/>
    <x v="6"/>
    <x v="581"/>
    <x v="4"/>
    <x v="3"/>
    <x v="0"/>
    <x v="11"/>
    <s v="08"/>
    <n v="0.33152762140965186"/>
    <x v="2"/>
  </r>
  <r>
    <s v="ORD100588"/>
    <s v="2025-05-18"/>
    <s v="Customer 78"/>
    <x v="2"/>
    <x v="8"/>
    <x v="1"/>
    <x v="7"/>
    <x v="16"/>
    <n v="4197.97"/>
    <n v="7"/>
    <x v="3"/>
    <x v="582"/>
    <x v="1"/>
    <x v="3"/>
    <x v="0"/>
    <x v="7"/>
    <s v="05"/>
    <n v="-3.7982643992215279E-2"/>
    <x v="2"/>
  </r>
  <r>
    <s v="ORD100589"/>
    <s v="2024-08-12"/>
    <s v="Customer 135"/>
    <x v="3"/>
    <x v="12"/>
    <x v="2"/>
    <x v="4"/>
    <x v="6"/>
    <n v="444.37"/>
    <n v="1"/>
    <x v="1"/>
    <x v="583"/>
    <x v="6"/>
    <x v="2"/>
    <x v="1"/>
    <x v="11"/>
    <s v="08"/>
    <n v="3.0200058509800391E-2"/>
    <x v="1"/>
  </r>
  <r>
    <s v="ORD100590"/>
    <s v="2024-03-19"/>
    <s v="Customer 115"/>
    <x v="3"/>
    <x v="12"/>
    <x v="1"/>
    <x v="7"/>
    <x v="16"/>
    <n v="2002.5"/>
    <n v="5"/>
    <x v="3"/>
    <x v="584"/>
    <x v="0"/>
    <x v="1"/>
    <x v="1"/>
    <x v="3"/>
    <s v="03"/>
    <n v="8.3390761548064921E-2"/>
    <x v="2"/>
  </r>
  <r>
    <s v="ORD100591"/>
    <s v="2024-07-22"/>
    <s v="Customer 99"/>
    <x v="2"/>
    <x v="8"/>
    <x v="0"/>
    <x v="2"/>
    <x v="21"/>
    <n v="638.76"/>
    <n v="4"/>
    <x v="2"/>
    <x v="585"/>
    <x v="0"/>
    <x v="1"/>
    <x v="1"/>
    <x v="6"/>
    <s v="07"/>
    <n v="-0.18056860166572736"/>
    <x v="1"/>
  </r>
  <r>
    <s v="ORD100592"/>
    <s v="2024-08-02"/>
    <s v="Customer 188"/>
    <x v="1"/>
    <x v="11"/>
    <x v="1"/>
    <x v="5"/>
    <x v="7"/>
    <n v="5114.41"/>
    <n v="7"/>
    <x v="5"/>
    <x v="586"/>
    <x v="4"/>
    <x v="3"/>
    <x v="1"/>
    <x v="11"/>
    <s v="08"/>
    <n v="0.11101378262595295"/>
    <x v="3"/>
  </r>
  <r>
    <s v="ORD100593"/>
    <s v="2024-09-22"/>
    <s v="Customer 17"/>
    <x v="2"/>
    <x v="10"/>
    <x v="0"/>
    <x v="1"/>
    <x v="1"/>
    <n v="1392.8"/>
    <n v="2"/>
    <x v="4"/>
    <x v="587"/>
    <x v="3"/>
    <x v="3"/>
    <x v="1"/>
    <x v="5"/>
    <s v="09"/>
    <n v="0.22021826536473293"/>
    <x v="3"/>
  </r>
  <r>
    <s v="ORD100594"/>
    <s v="2024-09-13"/>
    <s v="Customer 131"/>
    <x v="3"/>
    <x v="13"/>
    <x v="2"/>
    <x v="8"/>
    <x v="12"/>
    <n v="4124.16"/>
    <n v="9"/>
    <x v="5"/>
    <x v="588"/>
    <x v="6"/>
    <x v="2"/>
    <x v="1"/>
    <x v="5"/>
    <s v="09"/>
    <n v="0.12365184667908131"/>
    <x v="3"/>
  </r>
  <r>
    <s v="ORD100595"/>
    <s v="2025-02-26"/>
    <s v="Customer 46"/>
    <x v="1"/>
    <x v="11"/>
    <x v="0"/>
    <x v="0"/>
    <x v="0"/>
    <n v="2343.5300000000002"/>
    <n v="7"/>
    <x v="1"/>
    <x v="589"/>
    <x v="4"/>
    <x v="0"/>
    <x v="0"/>
    <x v="1"/>
    <s v="02"/>
    <n v="-0.15276527290028288"/>
    <x v="1"/>
  </r>
  <r>
    <s v="ORD100596"/>
    <s v="2024-01-08"/>
    <s v="Customer 28"/>
    <x v="1"/>
    <x v="1"/>
    <x v="0"/>
    <x v="2"/>
    <x v="11"/>
    <n v="7065.84"/>
    <n v="8"/>
    <x v="6"/>
    <x v="590"/>
    <x v="9"/>
    <x v="2"/>
    <x v="1"/>
    <x v="0"/>
    <s v="01"/>
    <n v="1.5894783918118723E-2"/>
    <x v="2"/>
  </r>
  <r>
    <s v="ORD100597"/>
    <s v="2025-05-01"/>
    <s v="Customer 45"/>
    <x v="3"/>
    <x v="13"/>
    <x v="2"/>
    <x v="4"/>
    <x v="6"/>
    <n v="2349.85"/>
    <n v="5"/>
    <x v="3"/>
    <x v="591"/>
    <x v="0"/>
    <x v="0"/>
    <x v="0"/>
    <x v="7"/>
    <s v="05"/>
    <n v="0.32640381300934102"/>
    <x v="2"/>
  </r>
  <r>
    <s v="ORD100598"/>
    <s v="2024-01-09"/>
    <s v="Customer 196"/>
    <x v="1"/>
    <x v="2"/>
    <x v="0"/>
    <x v="0"/>
    <x v="25"/>
    <n v="2595.65"/>
    <n v="5"/>
    <x v="3"/>
    <x v="592"/>
    <x v="0"/>
    <x v="2"/>
    <x v="1"/>
    <x v="0"/>
    <s v="01"/>
    <n v="-3.790957948876004E-3"/>
    <x v="2"/>
  </r>
  <r>
    <s v="ORD100599"/>
    <s v="2025-10-27"/>
    <s v="Customer 167"/>
    <x v="0"/>
    <x v="0"/>
    <x v="2"/>
    <x v="8"/>
    <x v="12"/>
    <n v="670.55"/>
    <n v="5"/>
    <x v="0"/>
    <x v="593"/>
    <x v="9"/>
    <x v="0"/>
    <x v="0"/>
    <x v="2"/>
    <s v="10"/>
    <n v="0.35646857057639253"/>
    <x v="0"/>
  </r>
  <r>
    <s v="ORD100600"/>
    <s v="2024-07-28"/>
    <s v="Customer 54"/>
    <x v="0"/>
    <x v="4"/>
    <x v="2"/>
    <x v="4"/>
    <x v="26"/>
    <n v="1326.36"/>
    <n v="7"/>
    <x v="2"/>
    <x v="594"/>
    <x v="3"/>
    <x v="2"/>
    <x v="1"/>
    <x v="6"/>
    <s v="07"/>
    <n v="-7.6299044000120633E-3"/>
    <x v="1"/>
  </r>
  <r>
    <s v="ORD100601"/>
    <s v="2024-01-16"/>
    <s v="Customer 149"/>
    <x v="2"/>
    <x v="8"/>
    <x v="2"/>
    <x v="8"/>
    <x v="20"/>
    <n v="7943.11"/>
    <n v="7"/>
    <x v="1"/>
    <x v="595"/>
    <x v="3"/>
    <x v="1"/>
    <x v="1"/>
    <x v="0"/>
    <s v="01"/>
    <n v="-0.17169093717699996"/>
    <x v="1"/>
  </r>
  <r>
    <s v="ORD100602"/>
    <s v="2024-03-05"/>
    <s v="Customer 78"/>
    <x v="3"/>
    <x v="12"/>
    <x v="1"/>
    <x v="5"/>
    <x v="24"/>
    <n v="5981.34"/>
    <n v="6"/>
    <x v="4"/>
    <x v="596"/>
    <x v="1"/>
    <x v="0"/>
    <x v="1"/>
    <x v="3"/>
    <s v="03"/>
    <n v="7.8163087201195719E-2"/>
    <x v="3"/>
  </r>
  <r>
    <s v="ORD100603"/>
    <s v="2024-01-08"/>
    <s v="Customer 3"/>
    <x v="2"/>
    <x v="3"/>
    <x v="2"/>
    <x v="6"/>
    <x v="13"/>
    <n v="209.72"/>
    <n v="2"/>
    <x v="6"/>
    <x v="597"/>
    <x v="4"/>
    <x v="0"/>
    <x v="1"/>
    <x v="0"/>
    <s v="01"/>
    <n v="2.2363150867823766E-2"/>
    <x v="2"/>
  </r>
  <r>
    <s v="ORD100604"/>
    <s v="2025-03-02"/>
    <s v="Customer 2"/>
    <x v="2"/>
    <x v="8"/>
    <x v="1"/>
    <x v="7"/>
    <x v="9"/>
    <n v="1101.76"/>
    <n v="2"/>
    <x v="1"/>
    <x v="598"/>
    <x v="8"/>
    <x v="0"/>
    <x v="0"/>
    <x v="3"/>
    <s v="03"/>
    <n v="3.2112256752831837E-2"/>
    <x v="1"/>
  </r>
  <r>
    <s v="ORD100605"/>
    <s v="2024-10-15"/>
    <s v="Customer 196"/>
    <x v="2"/>
    <x v="10"/>
    <x v="2"/>
    <x v="8"/>
    <x v="20"/>
    <n v="424.4"/>
    <n v="5"/>
    <x v="5"/>
    <x v="599"/>
    <x v="2"/>
    <x v="3"/>
    <x v="1"/>
    <x v="2"/>
    <s v="10"/>
    <n v="0.21649387370405279"/>
    <x v="3"/>
  </r>
  <r>
    <s v="ORD100606"/>
    <s v="2025-04-09"/>
    <s v="Customer 9"/>
    <x v="3"/>
    <x v="13"/>
    <x v="1"/>
    <x v="5"/>
    <x v="15"/>
    <n v="124.72"/>
    <n v="4"/>
    <x v="5"/>
    <x v="600"/>
    <x v="0"/>
    <x v="0"/>
    <x v="0"/>
    <x v="8"/>
    <s v="04"/>
    <n v="-3.0147530468248876E-2"/>
    <x v="3"/>
  </r>
  <r>
    <s v="ORD100607"/>
    <s v="2024-08-15"/>
    <s v="Customer 57"/>
    <x v="2"/>
    <x v="10"/>
    <x v="0"/>
    <x v="0"/>
    <x v="25"/>
    <n v="638.91"/>
    <n v="3"/>
    <x v="5"/>
    <x v="601"/>
    <x v="1"/>
    <x v="2"/>
    <x v="1"/>
    <x v="11"/>
    <s v="08"/>
    <n v="0.19559875412812447"/>
    <x v="3"/>
  </r>
  <r>
    <s v="ORD100608"/>
    <s v="2024-05-29"/>
    <s v="Customer 164"/>
    <x v="3"/>
    <x v="12"/>
    <x v="1"/>
    <x v="3"/>
    <x v="4"/>
    <n v="121.08"/>
    <n v="4"/>
    <x v="4"/>
    <x v="602"/>
    <x v="3"/>
    <x v="3"/>
    <x v="1"/>
    <x v="7"/>
    <s v="05"/>
    <n v="5.4922365378262311E-2"/>
    <x v="3"/>
  </r>
  <r>
    <s v="ORD100609"/>
    <s v="2024-12-29"/>
    <s v="Customer 37"/>
    <x v="3"/>
    <x v="12"/>
    <x v="1"/>
    <x v="3"/>
    <x v="4"/>
    <n v="3495.92"/>
    <n v="4"/>
    <x v="2"/>
    <x v="603"/>
    <x v="9"/>
    <x v="3"/>
    <x v="1"/>
    <x v="4"/>
    <s v="12"/>
    <n v="-0.10846071992494108"/>
    <x v="1"/>
  </r>
  <r>
    <s v="ORD100610"/>
    <s v="2024-08-10"/>
    <s v="Customer 90"/>
    <x v="0"/>
    <x v="0"/>
    <x v="0"/>
    <x v="2"/>
    <x v="11"/>
    <n v="5155.3"/>
    <n v="10"/>
    <x v="1"/>
    <x v="604"/>
    <x v="1"/>
    <x v="0"/>
    <x v="1"/>
    <x v="11"/>
    <s v="08"/>
    <n v="-0.18282350202704012"/>
    <x v="1"/>
  </r>
  <r>
    <s v="ORD100611"/>
    <s v="2025-07-24"/>
    <s v="Customer 142"/>
    <x v="1"/>
    <x v="2"/>
    <x v="2"/>
    <x v="6"/>
    <x v="8"/>
    <n v="4143.5600000000004"/>
    <n v="4"/>
    <x v="4"/>
    <x v="605"/>
    <x v="4"/>
    <x v="3"/>
    <x v="0"/>
    <x v="6"/>
    <s v="07"/>
    <n v="1.5288785488806725E-2"/>
    <x v="3"/>
  </r>
  <r>
    <s v="ORD100612"/>
    <s v="2025-12-01"/>
    <s v="Customer 148"/>
    <x v="2"/>
    <x v="8"/>
    <x v="1"/>
    <x v="5"/>
    <x v="15"/>
    <n v="8462.8799999999992"/>
    <n v="9"/>
    <x v="6"/>
    <x v="606"/>
    <x v="6"/>
    <x v="3"/>
    <x v="0"/>
    <x v="4"/>
    <s v="12"/>
    <n v="0.28207891403399316"/>
    <x v="2"/>
  </r>
  <r>
    <s v="ORD100613"/>
    <s v="2024-12-20"/>
    <s v="Customer 115"/>
    <x v="3"/>
    <x v="15"/>
    <x v="1"/>
    <x v="7"/>
    <x v="9"/>
    <n v="708.66"/>
    <n v="3"/>
    <x v="5"/>
    <x v="607"/>
    <x v="6"/>
    <x v="2"/>
    <x v="1"/>
    <x v="4"/>
    <s v="12"/>
    <n v="0.15314819518527928"/>
    <x v="3"/>
  </r>
  <r>
    <s v="ORD100614"/>
    <s v="2025-03-21"/>
    <s v="Customer 139"/>
    <x v="3"/>
    <x v="12"/>
    <x v="0"/>
    <x v="1"/>
    <x v="3"/>
    <n v="6601.5"/>
    <n v="10"/>
    <x v="3"/>
    <x v="608"/>
    <x v="8"/>
    <x v="1"/>
    <x v="0"/>
    <x v="3"/>
    <s v="03"/>
    <n v="0.1616072104824661"/>
    <x v="2"/>
  </r>
  <r>
    <s v="ORD100615"/>
    <s v="2025-05-23"/>
    <s v="Customer 167"/>
    <x v="1"/>
    <x v="5"/>
    <x v="2"/>
    <x v="6"/>
    <x v="13"/>
    <n v="3207.42"/>
    <n v="6"/>
    <x v="5"/>
    <x v="609"/>
    <x v="5"/>
    <x v="1"/>
    <x v="0"/>
    <x v="7"/>
    <s v="05"/>
    <n v="-3.124317987666099E-2"/>
    <x v="3"/>
  </r>
  <r>
    <s v="ORD100616"/>
    <s v="2025-03-23"/>
    <s v="Customer 23"/>
    <x v="0"/>
    <x v="7"/>
    <x v="2"/>
    <x v="6"/>
    <x v="8"/>
    <n v="477.98"/>
    <n v="2"/>
    <x v="2"/>
    <x v="610"/>
    <x v="8"/>
    <x v="3"/>
    <x v="0"/>
    <x v="3"/>
    <s v="03"/>
    <n v="-5.740825975982259E-2"/>
    <x v="1"/>
  </r>
  <r>
    <s v="ORD100617"/>
    <s v="2024-01-10"/>
    <s v="Customer 23"/>
    <x v="0"/>
    <x v="0"/>
    <x v="1"/>
    <x v="5"/>
    <x v="24"/>
    <n v="8957.52"/>
    <n v="9"/>
    <x v="6"/>
    <x v="611"/>
    <x v="2"/>
    <x v="0"/>
    <x v="1"/>
    <x v="0"/>
    <s v="01"/>
    <n v="0.30006631299734743"/>
    <x v="2"/>
  </r>
  <r>
    <s v="ORD100618"/>
    <s v="2024-07-03"/>
    <s v="Customer 173"/>
    <x v="1"/>
    <x v="5"/>
    <x v="2"/>
    <x v="4"/>
    <x v="10"/>
    <n v="234.84"/>
    <n v="6"/>
    <x v="3"/>
    <x v="612"/>
    <x v="3"/>
    <x v="3"/>
    <x v="1"/>
    <x v="6"/>
    <s v="07"/>
    <n v="8.5249531595980241E-2"/>
    <x v="2"/>
  </r>
  <r>
    <s v="ORD100619"/>
    <s v="2025-08-07"/>
    <s v="Customer 80"/>
    <x v="2"/>
    <x v="8"/>
    <x v="2"/>
    <x v="6"/>
    <x v="23"/>
    <n v="1061.58"/>
    <n v="6"/>
    <x v="1"/>
    <x v="613"/>
    <x v="7"/>
    <x v="1"/>
    <x v="0"/>
    <x v="11"/>
    <s v="08"/>
    <n v="-8.9818949113585414E-2"/>
    <x v="1"/>
  </r>
  <r>
    <s v="ORD100620"/>
    <s v="2024-04-29"/>
    <s v="Customer 154"/>
    <x v="2"/>
    <x v="10"/>
    <x v="2"/>
    <x v="4"/>
    <x v="10"/>
    <n v="1102.8499999999999"/>
    <n v="7"/>
    <x v="0"/>
    <x v="614"/>
    <x v="8"/>
    <x v="2"/>
    <x v="1"/>
    <x v="8"/>
    <s v="04"/>
    <n v="0.44513759804143815"/>
    <x v="0"/>
  </r>
  <r>
    <s v="ORD100621"/>
    <s v="2025-07-20"/>
    <s v="Customer 37"/>
    <x v="0"/>
    <x v="7"/>
    <x v="1"/>
    <x v="3"/>
    <x v="14"/>
    <n v="628.94000000000005"/>
    <n v="1"/>
    <x v="1"/>
    <x v="615"/>
    <x v="8"/>
    <x v="2"/>
    <x v="0"/>
    <x v="6"/>
    <s v="07"/>
    <n v="-9.4365122269214868E-2"/>
    <x v="1"/>
  </r>
  <r>
    <s v="ORD100622"/>
    <s v="2024-11-17"/>
    <s v="Customer 126"/>
    <x v="3"/>
    <x v="12"/>
    <x v="2"/>
    <x v="4"/>
    <x v="6"/>
    <n v="5274.08"/>
    <n v="7"/>
    <x v="4"/>
    <x v="616"/>
    <x v="6"/>
    <x v="0"/>
    <x v="1"/>
    <x v="10"/>
    <s v="11"/>
    <n v="0.14915207960440494"/>
    <x v="3"/>
  </r>
  <r>
    <s v="ORD100623"/>
    <s v="2025-10-18"/>
    <s v="Customer 131"/>
    <x v="0"/>
    <x v="9"/>
    <x v="1"/>
    <x v="7"/>
    <x v="17"/>
    <n v="3317.4"/>
    <n v="5"/>
    <x v="2"/>
    <x v="617"/>
    <x v="5"/>
    <x v="2"/>
    <x v="0"/>
    <x v="2"/>
    <s v="10"/>
    <n v="-0.11166274793512992"/>
    <x v="1"/>
  </r>
  <r>
    <s v="ORD100624"/>
    <s v="2024-04-03"/>
    <s v="Customer 60"/>
    <x v="1"/>
    <x v="2"/>
    <x v="2"/>
    <x v="8"/>
    <x v="18"/>
    <n v="8726.58"/>
    <n v="9"/>
    <x v="2"/>
    <x v="618"/>
    <x v="6"/>
    <x v="1"/>
    <x v="1"/>
    <x v="8"/>
    <s v="04"/>
    <n v="-0.11600420783399683"/>
    <x v="1"/>
  </r>
  <r>
    <s v="ORD100625"/>
    <s v="2025-03-25"/>
    <s v="Customer 43"/>
    <x v="1"/>
    <x v="1"/>
    <x v="0"/>
    <x v="0"/>
    <x v="0"/>
    <n v="401.73"/>
    <n v="1"/>
    <x v="5"/>
    <x v="619"/>
    <x v="0"/>
    <x v="1"/>
    <x v="0"/>
    <x v="3"/>
    <s v="03"/>
    <n v="-1.9764518457670573E-2"/>
    <x v="3"/>
  </r>
  <r>
    <s v="ORD100626"/>
    <s v="2025-08-22"/>
    <s v="Customer 92"/>
    <x v="0"/>
    <x v="9"/>
    <x v="2"/>
    <x v="4"/>
    <x v="6"/>
    <n v="919.94"/>
    <n v="7"/>
    <x v="3"/>
    <x v="620"/>
    <x v="3"/>
    <x v="0"/>
    <x v="0"/>
    <x v="11"/>
    <s v="08"/>
    <n v="7.5461443137595924E-2"/>
    <x v="2"/>
  </r>
  <r>
    <s v="ORD100627"/>
    <s v="2025-04-07"/>
    <s v="Customer 49"/>
    <x v="3"/>
    <x v="15"/>
    <x v="1"/>
    <x v="7"/>
    <x v="17"/>
    <n v="11195.2"/>
    <n v="10"/>
    <x v="4"/>
    <x v="621"/>
    <x v="8"/>
    <x v="0"/>
    <x v="0"/>
    <x v="8"/>
    <s v="04"/>
    <n v="-6.9563741603544366E-2"/>
    <x v="3"/>
  </r>
  <r>
    <s v="ORD100628"/>
    <s v="2024-10-01"/>
    <s v="Customer 136"/>
    <x v="2"/>
    <x v="8"/>
    <x v="0"/>
    <x v="0"/>
    <x v="25"/>
    <n v="4920.03"/>
    <n v="9"/>
    <x v="1"/>
    <x v="622"/>
    <x v="9"/>
    <x v="0"/>
    <x v="1"/>
    <x v="2"/>
    <s v="10"/>
    <n v="7.2710938754438501E-2"/>
    <x v="1"/>
  </r>
  <r>
    <s v="ORD100629"/>
    <s v="2024-11-24"/>
    <s v="Customer 83"/>
    <x v="2"/>
    <x v="6"/>
    <x v="2"/>
    <x v="4"/>
    <x v="6"/>
    <n v="9882.18"/>
    <n v="9"/>
    <x v="4"/>
    <x v="623"/>
    <x v="6"/>
    <x v="0"/>
    <x v="1"/>
    <x v="10"/>
    <s v="11"/>
    <n v="-6.4497914427788197E-2"/>
    <x v="3"/>
  </r>
  <r>
    <s v="ORD100630"/>
    <s v="2025-10-25"/>
    <s v="Customer 92"/>
    <x v="2"/>
    <x v="3"/>
    <x v="2"/>
    <x v="4"/>
    <x v="26"/>
    <n v="286.83999999999997"/>
    <n v="4"/>
    <x v="5"/>
    <x v="624"/>
    <x v="4"/>
    <x v="0"/>
    <x v="0"/>
    <x v="2"/>
    <s v="10"/>
    <n v="0.15817180309580253"/>
    <x v="3"/>
  </r>
  <r>
    <s v="ORD100631"/>
    <s v="2024-10-02"/>
    <s v="Customer 101"/>
    <x v="2"/>
    <x v="8"/>
    <x v="0"/>
    <x v="2"/>
    <x v="11"/>
    <n v="8572.23"/>
    <n v="9"/>
    <x v="3"/>
    <x v="625"/>
    <x v="1"/>
    <x v="1"/>
    <x v="1"/>
    <x v="2"/>
    <s v="10"/>
    <n v="5.1762493540187332E-2"/>
    <x v="2"/>
  </r>
  <r>
    <s v="ORD100632"/>
    <s v="2025-01-09"/>
    <s v="Customer 8"/>
    <x v="0"/>
    <x v="4"/>
    <x v="0"/>
    <x v="2"/>
    <x v="2"/>
    <n v="4252.59"/>
    <n v="9"/>
    <x v="1"/>
    <x v="626"/>
    <x v="2"/>
    <x v="3"/>
    <x v="0"/>
    <x v="0"/>
    <s v="01"/>
    <n v="0.19482009786976878"/>
    <x v="1"/>
  </r>
  <r>
    <s v="ORD100633"/>
    <s v="2024-06-06"/>
    <s v="Customer 24"/>
    <x v="1"/>
    <x v="5"/>
    <x v="0"/>
    <x v="2"/>
    <x v="21"/>
    <n v="4932"/>
    <n v="5"/>
    <x v="1"/>
    <x v="627"/>
    <x v="7"/>
    <x v="0"/>
    <x v="1"/>
    <x v="9"/>
    <s v="06"/>
    <n v="-6.0658961881589625E-2"/>
    <x v="1"/>
  </r>
  <r>
    <s v="ORD100634"/>
    <s v="2024-01-09"/>
    <s v="Customer 81"/>
    <x v="0"/>
    <x v="7"/>
    <x v="1"/>
    <x v="7"/>
    <x v="9"/>
    <n v="4775.26"/>
    <n v="7"/>
    <x v="3"/>
    <x v="628"/>
    <x v="0"/>
    <x v="2"/>
    <x v="1"/>
    <x v="0"/>
    <s v="01"/>
    <n v="0.20710285932074901"/>
    <x v="2"/>
  </r>
  <r>
    <s v="ORD100635"/>
    <s v="2025-12-19"/>
    <s v="Customer 9"/>
    <x v="2"/>
    <x v="3"/>
    <x v="0"/>
    <x v="0"/>
    <x v="25"/>
    <n v="6775.28"/>
    <n v="8"/>
    <x v="6"/>
    <x v="629"/>
    <x v="9"/>
    <x v="0"/>
    <x v="0"/>
    <x v="4"/>
    <s v="12"/>
    <n v="0.32674811963490807"/>
    <x v="2"/>
  </r>
  <r>
    <s v="ORD100636"/>
    <s v="2025-06-27"/>
    <s v="Customer 168"/>
    <x v="3"/>
    <x v="15"/>
    <x v="2"/>
    <x v="8"/>
    <x v="12"/>
    <n v="11325.1"/>
    <n v="10"/>
    <x v="1"/>
    <x v="630"/>
    <x v="0"/>
    <x v="1"/>
    <x v="0"/>
    <x v="9"/>
    <s v="06"/>
    <n v="6.8451492702051198E-2"/>
    <x v="1"/>
  </r>
  <r>
    <s v="ORD100637"/>
    <s v="2024-12-31"/>
    <s v="Customer 104"/>
    <x v="3"/>
    <x v="13"/>
    <x v="0"/>
    <x v="0"/>
    <x v="22"/>
    <n v="4778.3599999999997"/>
    <n v="4"/>
    <x v="1"/>
    <x v="631"/>
    <x v="7"/>
    <x v="2"/>
    <x v="1"/>
    <x v="4"/>
    <s v="12"/>
    <n v="0.19665952335110792"/>
    <x v="1"/>
  </r>
  <r>
    <s v="ORD100638"/>
    <s v="2024-12-24"/>
    <s v="Customer 8"/>
    <x v="3"/>
    <x v="12"/>
    <x v="0"/>
    <x v="2"/>
    <x v="11"/>
    <n v="3493.44"/>
    <n v="3"/>
    <x v="1"/>
    <x v="632"/>
    <x v="5"/>
    <x v="2"/>
    <x v="1"/>
    <x v="4"/>
    <s v="12"/>
    <n v="-0.11005484565356784"/>
    <x v="1"/>
  </r>
  <r>
    <s v="ORD100639"/>
    <s v="2025-12-17"/>
    <s v="Customer 99"/>
    <x v="3"/>
    <x v="12"/>
    <x v="0"/>
    <x v="2"/>
    <x v="21"/>
    <n v="528.78"/>
    <n v="3"/>
    <x v="4"/>
    <x v="633"/>
    <x v="3"/>
    <x v="3"/>
    <x v="0"/>
    <x v="4"/>
    <s v="12"/>
    <n v="0.1462801164945724"/>
    <x v="3"/>
  </r>
  <r>
    <s v="ORD100640"/>
    <s v="2024-05-04"/>
    <s v="Customer 38"/>
    <x v="1"/>
    <x v="1"/>
    <x v="2"/>
    <x v="6"/>
    <x v="13"/>
    <n v="5847.8"/>
    <n v="5"/>
    <x v="3"/>
    <x v="634"/>
    <x v="5"/>
    <x v="2"/>
    <x v="1"/>
    <x v="7"/>
    <s v="05"/>
    <n v="0.30384076062792842"/>
    <x v="2"/>
  </r>
  <r>
    <s v="ORD100641"/>
    <s v="2025-04-03"/>
    <s v="Customer 135"/>
    <x v="0"/>
    <x v="0"/>
    <x v="1"/>
    <x v="7"/>
    <x v="9"/>
    <n v="3363.81"/>
    <n v="3"/>
    <x v="1"/>
    <x v="635"/>
    <x v="4"/>
    <x v="2"/>
    <x v="0"/>
    <x v="8"/>
    <s v="04"/>
    <n v="0.14887582830183632"/>
    <x v="1"/>
  </r>
  <r>
    <s v="ORD100642"/>
    <s v="2025-08-05"/>
    <s v="Customer 73"/>
    <x v="0"/>
    <x v="0"/>
    <x v="2"/>
    <x v="6"/>
    <x v="13"/>
    <n v="6961.52"/>
    <n v="8"/>
    <x v="5"/>
    <x v="636"/>
    <x v="5"/>
    <x v="0"/>
    <x v="0"/>
    <x v="11"/>
    <s v="08"/>
    <n v="0.29672973718383339"/>
    <x v="3"/>
  </r>
  <r>
    <s v="ORD100643"/>
    <s v="2025-04-08"/>
    <s v="Customer 177"/>
    <x v="2"/>
    <x v="3"/>
    <x v="2"/>
    <x v="4"/>
    <x v="10"/>
    <n v="10626.6"/>
    <n v="10"/>
    <x v="2"/>
    <x v="637"/>
    <x v="8"/>
    <x v="2"/>
    <x v="0"/>
    <x v="8"/>
    <s v="04"/>
    <n v="-2.800048933807615E-2"/>
    <x v="1"/>
  </r>
  <r>
    <s v="ORD100644"/>
    <s v="2024-03-07"/>
    <s v="Customer 115"/>
    <x v="1"/>
    <x v="2"/>
    <x v="2"/>
    <x v="6"/>
    <x v="23"/>
    <n v="2613.48"/>
    <n v="3"/>
    <x v="3"/>
    <x v="638"/>
    <x v="6"/>
    <x v="3"/>
    <x v="1"/>
    <x v="3"/>
    <s v="03"/>
    <n v="9.4058496717020976E-2"/>
    <x v="2"/>
  </r>
  <r>
    <s v="ORD100645"/>
    <s v="2024-10-21"/>
    <s v="Customer 75"/>
    <x v="0"/>
    <x v="7"/>
    <x v="2"/>
    <x v="4"/>
    <x v="26"/>
    <n v="892.48"/>
    <n v="2"/>
    <x v="6"/>
    <x v="639"/>
    <x v="5"/>
    <x v="1"/>
    <x v="1"/>
    <x v="2"/>
    <s v="10"/>
    <n v="0.13538678737898888"/>
    <x v="2"/>
  </r>
  <r>
    <s v="ORD100646"/>
    <s v="2024-07-12"/>
    <s v="Customer 91"/>
    <x v="3"/>
    <x v="15"/>
    <x v="0"/>
    <x v="0"/>
    <x v="0"/>
    <n v="3232.2"/>
    <n v="3"/>
    <x v="6"/>
    <x v="640"/>
    <x v="0"/>
    <x v="0"/>
    <x v="1"/>
    <x v="6"/>
    <s v="07"/>
    <n v="0.26142565435307225"/>
    <x v="2"/>
  </r>
  <r>
    <s v="ORD100647"/>
    <s v="2025-02-18"/>
    <s v="Customer 17"/>
    <x v="0"/>
    <x v="7"/>
    <x v="1"/>
    <x v="5"/>
    <x v="24"/>
    <n v="2752.44"/>
    <n v="4"/>
    <x v="5"/>
    <x v="641"/>
    <x v="6"/>
    <x v="3"/>
    <x v="0"/>
    <x v="1"/>
    <s v="02"/>
    <n v="-9.8588888404470221E-2"/>
    <x v="3"/>
  </r>
  <r>
    <s v="ORD100648"/>
    <s v="2024-08-20"/>
    <s v="Customer 136"/>
    <x v="2"/>
    <x v="6"/>
    <x v="0"/>
    <x v="2"/>
    <x v="11"/>
    <n v="7049.34"/>
    <n v="6"/>
    <x v="4"/>
    <x v="642"/>
    <x v="1"/>
    <x v="2"/>
    <x v="1"/>
    <x v="11"/>
    <s v="08"/>
    <n v="0.21835377496332989"/>
    <x v="3"/>
  </r>
  <r>
    <s v="ORD100649"/>
    <s v="2025-02-19"/>
    <s v="Customer 13"/>
    <x v="0"/>
    <x v="0"/>
    <x v="0"/>
    <x v="1"/>
    <x v="1"/>
    <n v="3526.02"/>
    <n v="9"/>
    <x v="4"/>
    <x v="643"/>
    <x v="7"/>
    <x v="3"/>
    <x v="0"/>
    <x v="1"/>
    <s v="02"/>
    <n v="6.7174888401086777E-2"/>
    <x v="3"/>
  </r>
  <r>
    <s v="ORD100650"/>
    <s v="2024-07-14"/>
    <s v="Customer 105"/>
    <x v="1"/>
    <x v="1"/>
    <x v="1"/>
    <x v="5"/>
    <x v="24"/>
    <n v="260.01"/>
    <n v="9"/>
    <x v="0"/>
    <x v="644"/>
    <x v="6"/>
    <x v="2"/>
    <x v="1"/>
    <x v="6"/>
    <s v="07"/>
    <n v="0.2649898080843045"/>
    <x v="0"/>
  </r>
  <r>
    <s v="ORD100651"/>
    <s v="2024-07-14"/>
    <s v="Customer 1"/>
    <x v="0"/>
    <x v="0"/>
    <x v="1"/>
    <x v="3"/>
    <x v="14"/>
    <n v="817.08"/>
    <n v="4"/>
    <x v="4"/>
    <x v="645"/>
    <x v="1"/>
    <x v="1"/>
    <x v="1"/>
    <x v="6"/>
    <s v="07"/>
    <n v="-0.13017085230332404"/>
    <x v="3"/>
  </r>
  <r>
    <s v="ORD100652"/>
    <s v="2024-07-01"/>
    <s v="Customer 57"/>
    <x v="3"/>
    <x v="12"/>
    <x v="0"/>
    <x v="0"/>
    <x v="22"/>
    <n v="5958.7"/>
    <n v="5"/>
    <x v="0"/>
    <x v="646"/>
    <x v="7"/>
    <x v="0"/>
    <x v="1"/>
    <x v="6"/>
    <s v="07"/>
    <n v="0.28260190981254302"/>
    <x v="0"/>
  </r>
  <r>
    <s v="ORD100653"/>
    <s v="2025-11-29"/>
    <s v="Customer 29"/>
    <x v="0"/>
    <x v="4"/>
    <x v="1"/>
    <x v="5"/>
    <x v="24"/>
    <n v="4756.8"/>
    <n v="10"/>
    <x v="6"/>
    <x v="647"/>
    <x v="3"/>
    <x v="3"/>
    <x v="0"/>
    <x v="10"/>
    <s v="11"/>
    <n v="0.34737218298015471"/>
    <x v="2"/>
  </r>
  <r>
    <s v="ORD100654"/>
    <s v="2025-04-23"/>
    <s v="Customer 68"/>
    <x v="0"/>
    <x v="7"/>
    <x v="0"/>
    <x v="0"/>
    <x v="0"/>
    <n v="2476.1999999999998"/>
    <n v="4"/>
    <x v="5"/>
    <x v="648"/>
    <x v="9"/>
    <x v="1"/>
    <x v="0"/>
    <x v="8"/>
    <s v="04"/>
    <n v="0.20519344156368632"/>
    <x v="3"/>
  </r>
  <r>
    <s v="ORD100655"/>
    <s v="2025-01-30"/>
    <s v="Customer 126"/>
    <x v="3"/>
    <x v="15"/>
    <x v="1"/>
    <x v="5"/>
    <x v="24"/>
    <n v="8951.1299999999992"/>
    <n v="9"/>
    <x v="4"/>
    <x v="649"/>
    <x v="9"/>
    <x v="2"/>
    <x v="0"/>
    <x v="0"/>
    <s v="01"/>
    <n v="0.19414085149025878"/>
    <x v="3"/>
  </r>
  <r>
    <s v="ORD100656"/>
    <s v="2024-09-03"/>
    <s v="Customer 10"/>
    <x v="2"/>
    <x v="3"/>
    <x v="1"/>
    <x v="3"/>
    <x v="5"/>
    <n v="6868.98"/>
    <n v="6"/>
    <x v="3"/>
    <x v="650"/>
    <x v="3"/>
    <x v="3"/>
    <x v="1"/>
    <x v="5"/>
    <s v="09"/>
    <n v="0.23958870167040813"/>
    <x v="2"/>
  </r>
  <r>
    <s v="ORD100657"/>
    <s v="2024-07-24"/>
    <s v="Customer 175"/>
    <x v="3"/>
    <x v="13"/>
    <x v="1"/>
    <x v="5"/>
    <x v="24"/>
    <n v="788.48"/>
    <n v="2"/>
    <x v="6"/>
    <x v="651"/>
    <x v="1"/>
    <x v="1"/>
    <x v="1"/>
    <x v="6"/>
    <s v="07"/>
    <n v="0.30624746347402598"/>
    <x v="2"/>
  </r>
  <r>
    <s v="ORD100658"/>
    <s v="2025-07-18"/>
    <s v="Customer 75"/>
    <x v="3"/>
    <x v="15"/>
    <x v="1"/>
    <x v="5"/>
    <x v="7"/>
    <n v="2815.83"/>
    <n v="9"/>
    <x v="4"/>
    <x v="652"/>
    <x v="3"/>
    <x v="3"/>
    <x v="0"/>
    <x v="6"/>
    <s v="07"/>
    <n v="3.1507583909539991E-2"/>
    <x v="3"/>
  </r>
  <r>
    <s v="ORD100659"/>
    <s v="2024-01-07"/>
    <s v="Customer 175"/>
    <x v="2"/>
    <x v="3"/>
    <x v="2"/>
    <x v="6"/>
    <x v="13"/>
    <n v="6828.96"/>
    <n v="8"/>
    <x v="6"/>
    <x v="653"/>
    <x v="7"/>
    <x v="0"/>
    <x v="1"/>
    <x v="0"/>
    <s v="01"/>
    <n v="0.17463713361917479"/>
    <x v="2"/>
  </r>
  <r>
    <s v="ORD100660"/>
    <s v="2024-03-13"/>
    <s v="Customer 133"/>
    <x v="2"/>
    <x v="3"/>
    <x v="1"/>
    <x v="5"/>
    <x v="15"/>
    <n v="2283.6"/>
    <n v="4"/>
    <x v="1"/>
    <x v="654"/>
    <x v="2"/>
    <x v="2"/>
    <x v="1"/>
    <x v="3"/>
    <s v="03"/>
    <n v="-0.16829567349798563"/>
    <x v="1"/>
  </r>
  <r>
    <s v="ORD100661"/>
    <s v="2024-12-12"/>
    <s v="Customer 78"/>
    <x v="3"/>
    <x v="12"/>
    <x v="0"/>
    <x v="1"/>
    <x v="19"/>
    <n v="3086.13"/>
    <n v="3"/>
    <x v="5"/>
    <x v="655"/>
    <x v="4"/>
    <x v="2"/>
    <x v="1"/>
    <x v="4"/>
    <s v="12"/>
    <n v="0.18710488540664194"/>
    <x v="3"/>
  </r>
  <r>
    <s v="ORD100662"/>
    <s v="2025-10-15"/>
    <s v="Customer 163"/>
    <x v="1"/>
    <x v="5"/>
    <x v="0"/>
    <x v="1"/>
    <x v="3"/>
    <n v="3039.57"/>
    <n v="3"/>
    <x v="2"/>
    <x v="656"/>
    <x v="5"/>
    <x v="0"/>
    <x v="0"/>
    <x v="2"/>
    <s v="10"/>
    <n v="8.2090558861944288E-2"/>
    <x v="1"/>
  </r>
  <r>
    <s v="ORD100663"/>
    <s v="2025-05-16"/>
    <s v="Customer 40"/>
    <x v="0"/>
    <x v="4"/>
    <x v="1"/>
    <x v="3"/>
    <x v="5"/>
    <n v="6604.38"/>
    <n v="9"/>
    <x v="0"/>
    <x v="657"/>
    <x v="6"/>
    <x v="3"/>
    <x v="0"/>
    <x v="7"/>
    <s v="05"/>
    <n v="0.42098728419624554"/>
    <x v="0"/>
  </r>
  <r>
    <s v="ORD100664"/>
    <s v="2025-07-19"/>
    <s v="Customer 154"/>
    <x v="0"/>
    <x v="9"/>
    <x v="2"/>
    <x v="4"/>
    <x v="10"/>
    <n v="5846.46"/>
    <n v="6"/>
    <x v="2"/>
    <x v="658"/>
    <x v="3"/>
    <x v="0"/>
    <x v="0"/>
    <x v="6"/>
    <s v="07"/>
    <n v="-0.15010792855847813"/>
    <x v="1"/>
  </r>
  <r>
    <s v="ORD100665"/>
    <s v="2025-12-09"/>
    <s v="Customer 108"/>
    <x v="0"/>
    <x v="0"/>
    <x v="2"/>
    <x v="8"/>
    <x v="20"/>
    <n v="7543.08"/>
    <n v="9"/>
    <x v="1"/>
    <x v="659"/>
    <x v="2"/>
    <x v="2"/>
    <x v="0"/>
    <x v="4"/>
    <s v="12"/>
    <n v="-8.737677447408751E-2"/>
    <x v="1"/>
  </r>
  <r>
    <s v="ORD100666"/>
    <s v="2025-07-04"/>
    <s v="Customer 34"/>
    <x v="3"/>
    <x v="15"/>
    <x v="2"/>
    <x v="6"/>
    <x v="8"/>
    <n v="1887.74"/>
    <n v="2"/>
    <x v="6"/>
    <x v="660"/>
    <x v="9"/>
    <x v="1"/>
    <x v="0"/>
    <x v="6"/>
    <s v="07"/>
    <n v="5.0706135378812758E-2"/>
    <x v="2"/>
  </r>
  <r>
    <s v="ORD100667"/>
    <s v="2024-05-20"/>
    <s v="Customer 173"/>
    <x v="1"/>
    <x v="2"/>
    <x v="2"/>
    <x v="4"/>
    <x v="26"/>
    <n v="7645.89"/>
    <n v="7"/>
    <x v="6"/>
    <x v="661"/>
    <x v="7"/>
    <x v="1"/>
    <x v="1"/>
    <x v="7"/>
    <s v="05"/>
    <n v="0.12368344300009547"/>
    <x v="2"/>
  </r>
  <r>
    <s v="ORD100668"/>
    <s v="2025-04-25"/>
    <s v="Customer 192"/>
    <x v="2"/>
    <x v="8"/>
    <x v="2"/>
    <x v="4"/>
    <x v="26"/>
    <n v="3463.38"/>
    <n v="9"/>
    <x v="3"/>
    <x v="662"/>
    <x v="3"/>
    <x v="3"/>
    <x v="0"/>
    <x v="8"/>
    <s v="04"/>
    <n v="4.9656693750036091E-2"/>
    <x v="2"/>
  </r>
  <r>
    <s v="ORD100669"/>
    <s v="2025-06-18"/>
    <s v="Customer 55"/>
    <x v="3"/>
    <x v="15"/>
    <x v="1"/>
    <x v="5"/>
    <x v="24"/>
    <n v="363.12"/>
    <n v="3"/>
    <x v="3"/>
    <x v="663"/>
    <x v="1"/>
    <x v="3"/>
    <x v="0"/>
    <x v="9"/>
    <s v="06"/>
    <n v="0.13832892707644856"/>
    <x v="2"/>
  </r>
  <r>
    <s v="ORD100670"/>
    <s v="2024-11-03"/>
    <s v="Customer 26"/>
    <x v="0"/>
    <x v="7"/>
    <x v="1"/>
    <x v="5"/>
    <x v="7"/>
    <n v="162.28"/>
    <n v="4"/>
    <x v="6"/>
    <x v="664"/>
    <x v="6"/>
    <x v="3"/>
    <x v="1"/>
    <x v="10"/>
    <s v="11"/>
    <n v="0.29991372935666749"/>
    <x v="2"/>
  </r>
  <r>
    <s v="ORD100671"/>
    <s v="2024-08-03"/>
    <s v="Customer 86"/>
    <x v="1"/>
    <x v="2"/>
    <x v="0"/>
    <x v="2"/>
    <x v="2"/>
    <n v="3088.89"/>
    <n v="3"/>
    <x v="4"/>
    <x v="665"/>
    <x v="2"/>
    <x v="2"/>
    <x v="1"/>
    <x v="11"/>
    <s v="08"/>
    <n v="-6.6392781873100049E-2"/>
    <x v="3"/>
  </r>
  <r>
    <s v="ORD100672"/>
    <s v="2024-10-11"/>
    <s v="Customer 72"/>
    <x v="0"/>
    <x v="4"/>
    <x v="1"/>
    <x v="5"/>
    <x v="7"/>
    <n v="2454.27"/>
    <n v="3"/>
    <x v="5"/>
    <x v="666"/>
    <x v="6"/>
    <x v="2"/>
    <x v="1"/>
    <x v="2"/>
    <s v="10"/>
    <n v="-8.9399291846455356E-2"/>
    <x v="3"/>
  </r>
  <r>
    <s v="ORD100673"/>
    <s v="2024-04-24"/>
    <s v="Customer 159"/>
    <x v="2"/>
    <x v="3"/>
    <x v="0"/>
    <x v="0"/>
    <x v="0"/>
    <n v="1143.3800000000001"/>
    <n v="2"/>
    <x v="6"/>
    <x v="667"/>
    <x v="3"/>
    <x v="2"/>
    <x v="1"/>
    <x v="8"/>
    <s v="04"/>
    <n v="9.4955307946614415E-2"/>
    <x v="2"/>
  </r>
  <r>
    <s v="ORD100674"/>
    <s v="2025-01-30"/>
    <s v="Customer 139"/>
    <x v="1"/>
    <x v="11"/>
    <x v="0"/>
    <x v="2"/>
    <x v="21"/>
    <n v="4499.46"/>
    <n v="6"/>
    <x v="0"/>
    <x v="668"/>
    <x v="9"/>
    <x v="3"/>
    <x v="0"/>
    <x v="0"/>
    <s v="01"/>
    <n v="0.36866201721984415"/>
    <x v="0"/>
  </r>
  <r>
    <s v="ORD100675"/>
    <s v="2024-02-25"/>
    <s v="Customer 84"/>
    <x v="3"/>
    <x v="13"/>
    <x v="1"/>
    <x v="7"/>
    <x v="16"/>
    <n v="230.28"/>
    <n v="2"/>
    <x v="0"/>
    <x v="669"/>
    <x v="9"/>
    <x v="2"/>
    <x v="1"/>
    <x v="1"/>
    <s v="02"/>
    <n v="0.22750564530137224"/>
    <x v="0"/>
  </r>
  <r>
    <s v="ORD100676"/>
    <s v="2024-10-24"/>
    <s v="Customer 11"/>
    <x v="3"/>
    <x v="14"/>
    <x v="0"/>
    <x v="2"/>
    <x v="21"/>
    <n v="3270.15"/>
    <n v="9"/>
    <x v="6"/>
    <x v="670"/>
    <x v="7"/>
    <x v="3"/>
    <x v="1"/>
    <x v="2"/>
    <s v="10"/>
    <n v="0.35282173600599359"/>
    <x v="2"/>
  </r>
  <r>
    <s v="ORD100677"/>
    <s v="2024-10-03"/>
    <s v="Customer 200"/>
    <x v="0"/>
    <x v="7"/>
    <x v="2"/>
    <x v="4"/>
    <x v="10"/>
    <n v="2502.96"/>
    <n v="4"/>
    <x v="4"/>
    <x v="671"/>
    <x v="1"/>
    <x v="1"/>
    <x v="1"/>
    <x v="2"/>
    <s v="10"/>
    <n v="0.17051011602262919"/>
    <x v="3"/>
  </r>
  <r>
    <s v="ORD100678"/>
    <s v="2025-11-14"/>
    <s v="Customer 98"/>
    <x v="0"/>
    <x v="4"/>
    <x v="0"/>
    <x v="0"/>
    <x v="25"/>
    <n v="7827.82"/>
    <n v="7"/>
    <x v="3"/>
    <x v="672"/>
    <x v="9"/>
    <x v="1"/>
    <x v="0"/>
    <x v="10"/>
    <s v="11"/>
    <n v="0.29203405290361811"/>
    <x v="2"/>
  </r>
  <r>
    <s v="ORD100679"/>
    <s v="2024-12-14"/>
    <s v="Customer 63"/>
    <x v="3"/>
    <x v="12"/>
    <x v="2"/>
    <x v="8"/>
    <x v="12"/>
    <n v="484.96"/>
    <n v="8"/>
    <x v="6"/>
    <x v="673"/>
    <x v="6"/>
    <x v="1"/>
    <x v="1"/>
    <x v="4"/>
    <s v="12"/>
    <n v="0.29130237545364568"/>
    <x v="2"/>
  </r>
  <r>
    <s v="ORD100680"/>
    <s v="2025-01-02"/>
    <s v="Customer 61"/>
    <x v="2"/>
    <x v="3"/>
    <x v="0"/>
    <x v="0"/>
    <x v="22"/>
    <n v="1727.74"/>
    <n v="7"/>
    <x v="2"/>
    <x v="674"/>
    <x v="3"/>
    <x v="0"/>
    <x v="0"/>
    <x v="0"/>
    <s v="01"/>
    <n v="-8.4312454420225252E-2"/>
    <x v="1"/>
  </r>
  <r>
    <s v="ORD100681"/>
    <s v="2025-07-22"/>
    <s v="Customer 44"/>
    <x v="2"/>
    <x v="10"/>
    <x v="0"/>
    <x v="0"/>
    <x v="22"/>
    <n v="945.06"/>
    <n v="3"/>
    <x v="3"/>
    <x v="675"/>
    <x v="9"/>
    <x v="0"/>
    <x v="0"/>
    <x v="6"/>
    <s v="07"/>
    <n v="0.25874547647768398"/>
    <x v="2"/>
  </r>
  <r>
    <s v="ORD100682"/>
    <s v="2024-07-11"/>
    <s v="Customer 186"/>
    <x v="1"/>
    <x v="2"/>
    <x v="2"/>
    <x v="4"/>
    <x v="26"/>
    <n v="73.06"/>
    <n v="1"/>
    <x v="1"/>
    <x v="676"/>
    <x v="3"/>
    <x v="0"/>
    <x v="1"/>
    <x v="6"/>
    <s v="07"/>
    <n v="-9.3758554612647135E-2"/>
    <x v="1"/>
  </r>
  <r>
    <s v="ORD100683"/>
    <s v="2024-04-19"/>
    <s v="Customer 72"/>
    <x v="3"/>
    <x v="14"/>
    <x v="2"/>
    <x v="4"/>
    <x v="26"/>
    <n v="3179.6"/>
    <n v="10"/>
    <x v="3"/>
    <x v="677"/>
    <x v="6"/>
    <x v="1"/>
    <x v="1"/>
    <x v="8"/>
    <s v="04"/>
    <n v="0.30674613158887915"/>
    <x v="2"/>
  </r>
  <r>
    <s v="ORD100684"/>
    <s v="2025-06-25"/>
    <s v="Customer 177"/>
    <x v="1"/>
    <x v="1"/>
    <x v="2"/>
    <x v="8"/>
    <x v="18"/>
    <n v="4296.42"/>
    <n v="6"/>
    <x v="0"/>
    <x v="678"/>
    <x v="9"/>
    <x v="3"/>
    <x v="0"/>
    <x v="9"/>
    <s v="06"/>
    <n v="0.32564786496664661"/>
    <x v="0"/>
  </r>
  <r>
    <s v="ORD100685"/>
    <s v="2024-04-28"/>
    <s v="Customer 67"/>
    <x v="2"/>
    <x v="8"/>
    <x v="2"/>
    <x v="4"/>
    <x v="10"/>
    <n v="7545.2"/>
    <n v="10"/>
    <x v="5"/>
    <x v="679"/>
    <x v="3"/>
    <x v="0"/>
    <x v="1"/>
    <x v="8"/>
    <s v="04"/>
    <n v="0.26942161904257012"/>
    <x v="3"/>
  </r>
  <r>
    <s v="ORD100686"/>
    <s v="2024-11-27"/>
    <s v="Customer 177"/>
    <x v="1"/>
    <x v="1"/>
    <x v="1"/>
    <x v="5"/>
    <x v="15"/>
    <n v="3580.89"/>
    <n v="3"/>
    <x v="2"/>
    <x v="680"/>
    <x v="7"/>
    <x v="2"/>
    <x v="1"/>
    <x v="10"/>
    <s v="11"/>
    <n v="-3.2846582832759458E-2"/>
    <x v="1"/>
  </r>
  <r>
    <s v="ORD100687"/>
    <s v="2025-02-25"/>
    <s v="Customer 27"/>
    <x v="3"/>
    <x v="13"/>
    <x v="1"/>
    <x v="7"/>
    <x v="17"/>
    <n v="3022.95"/>
    <n v="7"/>
    <x v="6"/>
    <x v="681"/>
    <x v="5"/>
    <x v="3"/>
    <x v="0"/>
    <x v="1"/>
    <s v="02"/>
    <n v="0.13198696637390631"/>
    <x v="2"/>
  </r>
  <r>
    <s v="ORD100688"/>
    <s v="2025-09-05"/>
    <s v="Customer 154"/>
    <x v="1"/>
    <x v="11"/>
    <x v="1"/>
    <x v="7"/>
    <x v="9"/>
    <n v="1983.78"/>
    <n v="6"/>
    <x v="4"/>
    <x v="682"/>
    <x v="4"/>
    <x v="3"/>
    <x v="0"/>
    <x v="5"/>
    <s v="09"/>
    <n v="0.17554869995664843"/>
    <x v="3"/>
  </r>
  <r>
    <s v="ORD100689"/>
    <s v="2025-10-16"/>
    <s v="Customer 14"/>
    <x v="3"/>
    <x v="14"/>
    <x v="2"/>
    <x v="6"/>
    <x v="8"/>
    <n v="1589.28"/>
    <n v="7"/>
    <x v="0"/>
    <x v="683"/>
    <x v="9"/>
    <x v="1"/>
    <x v="0"/>
    <x v="2"/>
    <s v="10"/>
    <n v="0.43941910802375922"/>
    <x v="0"/>
  </r>
  <r>
    <s v="ORD100690"/>
    <s v="2024-03-01"/>
    <s v="Customer 177"/>
    <x v="1"/>
    <x v="2"/>
    <x v="0"/>
    <x v="0"/>
    <x v="0"/>
    <n v="4210.38"/>
    <n v="9"/>
    <x v="0"/>
    <x v="684"/>
    <x v="2"/>
    <x v="3"/>
    <x v="1"/>
    <x v="3"/>
    <s v="03"/>
    <n v="0.14367824281893796"/>
    <x v="0"/>
  </r>
  <r>
    <s v="ORD100691"/>
    <s v="2024-10-17"/>
    <s v="Customer 70"/>
    <x v="0"/>
    <x v="7"/>
    <x v="1"/>
    <x v="5"/>
    <x v="24"/>
    <n v="1697.4"/>
    <n v="5"/>
    <x v="0"/>
    <x v="685"/>
    <x v="0"/>
    <x v="1"/>
    <x v="1"/>
    <x v="2"/>
    <s v="10"/>
    <n v="0.10028278543655002"/>
    <x v="0"/>
  </r>
  <r>
    <s v="ORD100692"/>
    <s v="2025-03-23"/>
    <s v="Customer 47"/>
    <x v="3"/>
    <x v="14"/>
    <x v="0"/>
    <x v="0"/>
    <x v="0"/>
    <n v="8394.0499999999993"/>
    <n v="7"/>
    <x v="2"/>
    <x v="686"/>
    <x v="2"/>
    <x v="1"/>
    <x v="0"/>
    <x v="3"/>
    <s v="03"/>
    <n v="-7.7876591156831338E-3"/>
    <x v="1"/>
  </r>
  <r>
    <s v="ORD100693"/>
    <s v="2025-03-17"/>
    <s v="Customer 9"/>
    <x v="3"/>
    <x v="12"/>
    <x v="2"/>
    <x v="4"/>
    <x v="6"/>
    <n v="4253.92"/>
    <n v="4"/>
    <x v="3"/>
    <x v="687"/>
    <x v="5"/>
    <x v="3"/>
    <x v="0"/>
    <x v="3"/>
    <s v="03"/>
    <n v="3.590805656899989E-2"/>
    <x v="2"/>
  </r>
  <r>
    <s v="ORD100694"/>
    <s v="2024-08-17"/>
    <s v="Customer 198"/>
    <x v="1"/>
    <x v="1"/>
    <x v="2"/>
    <x v="8"/>
    <x v="20"/>
    <n v="1199.71"/>
    <n v="1"/>
    <x v="0"/>
    <x v="688"/>
    <x v="8"/>
    <x v="0"/>
    <x v="1"/>
    <x v="11"/>
    <s v="08"/>
    <n v="0.2536112893949371"/>
    <x v="0"/>
  </r>
  <r>
    <s v="ORD100695"/>
    <s v="2024-09-16"/>
    <s v="Customer 50"/>
    <x v="1"/>
    <x v="1"/>
    <x v="0"/>
    <x v="2"/>
    <x v="21"/>
    <n v="1341.54"/>
    <n v="2"/>
    <x v="4"/>
    <x v="689"/>
    <x v="0"/>
    <x v="3"/>
    <x v="1"/>
    <x v="5"/>
    <s v="09"/>
    <n v="-0.12175559431697899"/>
    <x v="3"/>
  </r>
  <r>
    <s v="ORD100696"/>
    <s v="2024-07-26"/>
    <s v="Customer 162"/>
    <x v="2"/>
    <x v="8"/>
    <x v="2"/>
    <x v="4"/>
    <x v="10"/>
    <n v="3846.44"/>
    <n v="4"/>
    <x v="0"/>
    <x v="690"/>
    <x v="3"/>
    <x v="1"/>
    <x v="1"/>
    <x v="6"/>
    <s v="07"/>
    <n v="5.2284710017574697E-2"/>
    <x v="0"/>
  </r>
  <r>
    <s v="ORD100697"/>
    <s v="2025-09-29"/>
    <s v="Customer 92"/>
    <x v="2"/>
    <x v="3"/>
    <x v="1"/>
    <x v="7"/>
    <x v="16"/>
    <n v="7954.8"/>
    <n v="10"/>
    <x v="2"/>
    <x v="691"/>
    <x v="4"/>
    <x v="1"/>
    <x v="0"/>
    <x v="5"/>
    <s v="09"/>
    <n v="-0.21404560768341127"/>
    <x v="1"/>
  </r>
  <r>
    <s v="ORD100698"/>
    <s v="2024-07-13"/>
    <s v="Customer 47"/>
    <x v="1"/>
    <x v="1"/>
    <x v="0"/>
    <x v="1"/>
    <x v="3"/>
    <n v="11554.6"/>
    <n v="10"/>
    <x v="1"/>
    <x v="692"/>
    <x v="0"/>
    <x v="2"/>
    <x v="1"/>
    <x v="6"/>
    <s v="07"/>
    <n v="9.7350838627040304E-2"/>
    <x v="1"/>
  </r>
  <r>
    <s v="ORD100699"/>
    <s v="2024-06-19"/>
    <s v="Customer 116"/>
    <x v="1"/>
    <x v="2"/>
    <x v="0"/>
    <x v="1"/>
    <x v="3"/>
    <n v="418.38"/>
    <n v="3"/>
    <x v="3"/>
    <x v="693"/>
    <x v="9"/>
    <x v="0"/>
    <x v="1"/>
    <x v="9"/>
    <s v="06"/>
    <n v="-4.9572159281036372E-2"/>
    <x v="2"/>
  </r>
  <r>
    <s v="ORD100700"/>
    <s v="2025-08-29"/>
    <s v="Customer 8"/>
    <x v="3"/>
    <x v="15"/>
    <x v="0"/>
    <x v="1"/>
    <x v="1"/>
    <n v="2846.73"/>
    <n v="3"/>
    <x v="1"/>
    <x v="694"/>
    <x v="5"/>
    <x v="0"/>
    <x v="0"/>
    <x v="11"/>
    <s v="08"/>
    <n v="-5.8031495786393508E-2"/>
    <x v="1"/>
  </r>
  <r>
    <s v="ORD100701"/>
    <s v="2025-08-01"/>
    <s v="Customer 155"/>
    <x v="0"/>
    <x v="7"/>
    <x v="0"/>
    <x v="1"/>
    <x v="19"/>
    <n v="371.29"/>
    <n v="1"/>
    <x v="6"/>
    <x v="695"/>
    <x v="8"/>
    <x v="0"/>
    <x v="0"/>
    <x v="11"/>
    <s v="08"/>
    <n v="0.39799078887123274"/>
    <x v="2"/>
  </r>
  <r>
    <s v="ORD100702"/>
    <s v="2025-07-20"/>
    <s v="Customer 141"/>
    <x v="0"/>
    <x v="4"/>
    <x v="1"/>
    <x v="3"/>
    <x v="14"/>
    <n v="5668.98"/>
    <n v="6"/>
    <x v="3"/>
    <x v="696"/>
    <x v="2"/>
    <x v="0"/>
    <x v="0"/>
    <x v="6"/>
    <s v="07"/>
    <n v="0.21312475965694008"/>
    <x v="2"/>
  </r>
  <r>
    <s v="ORD100703"/>
    <s v="2024-11-10"/>
    <s v="Customer 103"/>
    <x v="3"/>
    <x v="13"/>
    <x v="1"/>
    <x v="3"/>
    <x v="5"/>
    <n v="4712.24"/>
    <n v="4"/>
    <x v="1"/>
    <x v="697"/>
    <x v="6"/>
    <x v="2"/>
    <x v="1"/>
    <x v="10"/>
    <s v="11"/>
    <n v="0.1527044462930581"/>
    <x v="1"/>
  </r>
  <r>
    <s v="ORD100704"/>
    <s v="2025-08-03"/>
    <s v="Customer 159"/>
    <x v="0"/>
    <x v="7"/>
    <x v="1"/>
    <x v="3"/>
    <x v="14"/>
    <n v="1923.1"/>
    <n v="10"/>
    <x v="5"/>
    <x v="698"/>
    <x v="0"/>
    <x v="1"/>
    <x v="0"/>
    <x v="11"/>
    <s v="08"/>
    <n v="-8.991212105454735E-2"/>
    <x v="3"/>
  </r>
  <r>
    <s v="ORD100705"/>
    <s v="2025-06-22"/>
    <s v="Customer 12"/>
    <x v="0"/>
    <x v="4"/>
    <x v="0"/>
    <x v="2"/>
    <x v="21"/>
    <n v="265.52"/>
    <n v="8"/>
    <x v="1"/>
    <x v="699"/>
    <x v="1"/>
    <x v="1"/>
    <x v="0"/>
    <x v="9"/>
    <s v="06"/>
    <n v="0.1811163000903887"/>
    <x v="1"/>
  </r>
  <r>
    <s v="ORD100706"/>
    <s v="2025-03-17"/>
    <s v="Customer 110"/>
    <x v="0"/>
    <x v="0"/>
    <x v="2"/>
    <x v="6"/>
    <x v="23"/>
    <n v="806.16"/>
    <n v="8"/>
    <x v="2"/>
    <x v="700"/>
    <x v="4"/>
    <x v="0"/>
    <x v="0"/>
    <x v="3"/>
    <s v="03"/>
    <n v="7.2839138632529526E-2"/>
    <x v="1"/>
  </r>
  <r>
    <s v="ORD100707"/>
    <s v="2024-06-13"/>
    <s v="Customer 48"/>
    <x v="0"/>
    <x v="0"/>
    <x v="2"/>
    <x v="4"/>
    <x v="10"/>
    <n v="2829.36"/>
    <n v="3"/>
    <x v="3"/>
    <x v="701"/>
    <x v="1"/>
    <x v="2"/>
    <x v="1"/>
    <x v="9"/>
    <s v="06"/>
    <n v="3.7322928153363305E-3"/>
    <x v="2"/>
  </r>
  <r>
    <s v="ORD100708"/>
    <s v="2025-07-11"/>
    <s v="Customer 147"/>
    <x v="1"/>
    <x v="1"/>
    <x v="2"/>
    <x v="4"/>
    <x v="10"/>
    <n v="5390.2"/>
    <n v="10"/>
    <x v="0"/>
    <x v="702"/>
    <x v="1"/>
    <x v="2"/>
    <x v="0"/>
    <x v="6"/>
    <s v="07"/>
    <n v="0.43049608548847912"/>
    <x v="0"/>
  </r>
  <r>
    <s v="ORD100709"/>
    <s v="2025-06-02"/>
    <s v="Customer 13"/>
    <x v="3"/>
    <x v="14"/>
    <x v="1"/>
    <x v="5"/>
    <x v="24"/>
    <n v="6185.6"/>
    <n v="10"/>
    <x v="5"/>
    <x v="703"/>
    <x v="9"/>
    <x v="1"/>
    <x v="0"/>
    <x v="9"/>
    <s v="06"/>
    <n v="0.11930451370926022"/>
    <x v="3"/>
  </r>
  <r>
    <s v="ORD100710"/>
    <s v="2024-10-31"/>
    <s v="Customer 142"/>
    <x v="0"/>
    <x v="9"/>
    <x v="0"/>
    <x v="2"/>
    <x v="2"/>
    <n v="6694.4"/>
    <n v="10"/>
    <x v="5"/>
    <x v="704"/>
    <x v="7"/>
    <x v="2"/>
    <x v="1"/>
    <x v="2"/>
    <s v="10"/>
    <n v="2.7139101338432125E-2"/>
    <x v="3"/>
  </r>
  <r>
    <s v="ORD100711"/>
    <s v="2025-08-24"/>
    <s v="Customer 86"/>
    <x v="3"/>
    <x v="15"/>
    <x v="1"/>
    <x v="7"/>
    <x v="17"/>
    <n v="6610.95"/>
    <n v="9"/>
    <x v="2"/>
    <x v="705"/>
    <x v="7"/>
    <x v="0"/>
    <x v="0"/>
    <x v="11"/>
    <s v="08"/>
    <n v="3.0877559201022545E-2"/>
    <x v="1"/>
  </r>
  <r>
    <s v="ORD100712"/>
    <s v="2025-12-25"/>
    <s v="Customer 102"/>
    <x v="2"/>
    <x v="8"/>
    <x v="2"/>
    <x v="4"/>
    <x v="26"/>
    <n v="2907.75"/>
    <n v="3"/>
    <x v="4"/>
    <x v="706"/>
    <x v="2"/>
    <x v="0"/>
    <x v="0"/>
    <x v="4"/>
    <s v="12"/>
    <n v="-1.5269538302811454E-3"/>
    <x v="3"/>
  </r>
  <r>
    <s v="ORD100713"/>
    <s v="2024-01-28"/>
    <s v="Customer 173"/>
    <x v="1"/>
    <x v="2"/>
    <x v="1"/>
    <x v="7"/>
    <x v="9"/>
    <n v="1820.72"/>
    <n v="2"/>
    <x v="0"/>
    <x v="707"/>
    <x v="9"/>
    <x v="3"/>
    <x v="1"/>
    <x v="0"/>
    <s v="01"/>
    <n v="0.28774331033876704"/>
    <x v="0"/>
  </r>
  <r>
    <s v="ORD100714"/>
    <s v="2025-11-05"/>
    <s v="Customer 8"/>
    <x v="1"/>
    <x v="5"/>
    <x v="0"/>
    <x v="2"/>
    <x v="11"/>
    <n v="9089.84"/>
    <n v="8"/>
    <x v="4"/>
    <x v="708"/>
    <x v="2"/>
    <x v="1"/>
    <x v="0"/>
    <x v="10"/>
    <s v="11"/>
    <n v="0.15001914225112875"/>
    <x v="3"/>
  </r>
  <r>
    <s v="ORD100715"/>
    <s v="2025-12-30"/>
    <s v="Customer 92"/>
    <x v="1"/>
    <x v="5"/>
    <x v="0"/>
    <x v="0"/>
    <x v="0"/>
    <n v="385.5"/>
    <n v="1"/>
    <x v="2"/>
    <x v="709"/>
    <x v="2"/>
    <x v="1"/>
    <x v="0"/>
    <x v="4"/>
    <s v="12"/>
    <n v="-0.18399481193255515"/>
    <x v="1"/>
  </r>
  <r>
    <s v="ORD100716"/>
    <s v="2025-01-23"/>
    <s v="Customer 67"/>
    <x v="1"/>
    <x v="5"/>
    <x v="1"/>
    <x v="7"/>
    <x v="17"/>
    <n v="8647.92"/>
    <n v="8"/>
    <x v="5"/>
    <x v="710"/>
    <x v="3"/>
    <x v="3"/>
    <x v="0"/>
    <x v="0"/>
    <s v="01"/>
    <n v="0.14015508931627488"/>
    <x v="3"/>
  </r>
  <r>
    <s v="ORD100717"/>
    <s v="2024-09-23"/>
    <s v="Customer 170"/>
    <x v="3"/>
    <x v="13"/>
    <x v="0"/>
    <x v="1"/>
    <x v="3"/>
    <n v="3151.3"/>
    <n v="10"/>
    <x v="6"/>
    <x v="711"/>
    <x v="0"/>
    <x v="1"/>
    <x v="1"/>
    <x v="5"/>
    <s v="09"/>
    <n v="0.3349855615142957"/>
    <x v="2"/>
  </r>
  <r>
    <s v="ORD100718"/>
    <s v="2024-07-27"/>
    <s v="Customer 160"/>
    <x v="0"/>
    <x v="7"/>
    <x v="1"/>
    <x v="3"/>
    <x v="4"/>
    <n v="4454.8"/>
    <n v="5"/>
    <x v="6"/>
    <x v="712"/>
    <x v="8"/>
    <x v="0"/>
    <x v="1"/>
    <x v="6"/>
    <s v="07"/>
    <n v="0.2322057106940828"/>
    <x v="2"/>
  </r>
  <r>
    <s v="ORD100719"/>
    <s v="2024-09-12"/>
    <s v="Customer 96"/>
    <x v="0"/>
    <x v="0"/>
    <x v="2"/>
    <x v="4"/>
    <x v="26"/>
    <n v="3082.4"/>
    <n v="4"/>
    <x v="3"/>
    <x v="713"/>
    <x v="9"/>
    <x v="3"/>
    <x v="1"/>
    <x v="5"/>
    <s v="09"/>
    <n v="1.8316895925253051E-2"/>
    <x v="2"/>
  </r>
  <r>
    <s v="ORD100720"/>
    <s v="2025-10-26"/>
    <s v="Customer 78"/>
    <x v="1"/>
    <x v="11"/>
    <x v="0"/>
    <x v="1"/>
    <x v="19"/>
    <n v="11898.7"/>
    <n v="10"/>
    <x v="2"/>
    <x v="714"/>
    <x v="1"/>
    <x v="1"/>
    <x v="0"/>
    <x v="2"/>
    <s v="10"/>
    <n v="-0.21188028944338455"/>
    <x v="1"/>
  </r>
  <r>
    <s v="ORD100721"/>
    <s v="2025-08-20"/>
    <s v="Customer 190"/>
    <x v="1"/>
    <x v="1"/>
    <x v="2"/>
    <x v="6"/>
    <x v="13"/>
    <n v="2202.12"/>
    <n v="6"/>
    <x v="5"/>
    <x v="715"/>
    <x v="3"/>
    <x v="3"/>
    <x v="0"/>
    <x v="11"/>
    <s v="08"/>
    <n v="-9.693840480991045E-2"/>
    <x v="3"/>
  </r>
  <r>
    <s v="ORD100722"/>
    <s v="2025-11-11"/>
    <s v="Customer 6"/>
    <x v="0"/>
    <x v="7"/>
    <x v="0"/>
    <x v="2"/>
    <x v="11"/>
    <n v="2173.38"/>
    <n v="2"/>
    <x v="3"/>
    <x v="716"/>
    <x v="6"/>
    <x v="2"/>
    <x v="0"/>
    <x v="10"/>
    <s v="11"/>
    <n v="3.923382013269653E-2"/>
    <x v="2"/>
  </r>
  <r>
    <s v="ORD100723"/>
    <s v="2024-01-02"/>
    <s v="Customer 178"/>
    <x v="3"/>
    <x v="13"/>
    <x v="1"/>
    <x v="3"/>
    <x v="4"/>
    <n v="5668.16"/>
    <n v="8"/>
    <x v="6"/>
    <x v="717"/>
    <x v="1"/>
    <x v="0"/>
    <x v="1"/>
    <x v="0"/>
    <s v="01"/>
    <n v="0.30147702252582848"/>
    <x v="2"/>
  </r>
  <r>
    <s v="ORD100724"/>
    <s v="2025-01-21"/>
    <s v="Customer 71"/>
    <x v="3"/>
    <x v="14"/>
    <x v="2"/>
    <x v="6"/>
    <x v="13"/>
    <n v="10865.2"/>
    <n v="10"/>
    <x v="4"/>
    <x v="718"/>
    <x v="1"/>
    <x v="0"/>
    <x v="0"/>
    <x v="0"/>
    <s v="01"/>
    <n v="0.19263520229724257"/>
    <x v="3"/>
  </r>
  <r>
    <s v="ORD100725"/>
    <s v="2024-11-05"/>
    <s v="Customer 153"/>
    <x v="0"/>
    <x v="4"/>
    <x v="2"/>
    <x v="8"/>
    <x v="20"/>
    <n v="9282.5"/>
    <n v="10"/>
    <x v="1"/>
    <x v="719"/>
    <x v="2"/>
    <x v="2"/>
    <x v="1"/>
    <x v="10"/>
    <s v="11"/>
    <n v="-0.12251009964987881"/>
    <x v="1"/>
  </r>
  <r>
    <s v="ORD100726"/>
    <s v="2024-12-08"/>
    <s v="Customer 184"/>
    <x v="2"/>
    <x v="6"/>
    <x v="2"/>
    <x v="4"/>
    <x v="26"/>
    <n v="5734.3"/>
    <n v="5"/>
    <x v="6"/>
    <x v="720"/>
    <x v="5"/>
    <x v="2"/>
    <x v="1"/>
    <x v="4"/>
    <s v="12"/>
    <n v="6.7610693545855647E-3"/>
    <x v="2"/>
  </r>
  <r>
    <s v="ORD100727"/>
    <s v="2024-06-29"/>
    <s v="Customer 44"/>
    <x v="1"/>
    <x v="2"/>
    <x v="1"/>
    <x v="7"/>
    <x v="16"/>
    <n v="5303.55"/>
    <n v="5"/>
    <x v="0"/>
    <x v="721"/>
    <x v="7"/>
    <x v="1"/>
    <x v="1"/>
    <x v="9"/>
    <s v="06"/>
    <n v="0.36810815397233926"/>
    <x v="0"/>
  </r>
  <r>
    <s v="ORD100728"/>
    <s v="2025-07-01"/>
    <s v="Customer 136"/>
    <x v="3"/>
    <x v="12"/>
    <x v="2"/>
    <x v="8"/>
    <x v="12"/>
    <n v="1036.44"/>
    <n v="4"/>
    <x v="1"/>
    <x v="722"/>
    <x v="1"/>
    <x v="3"/>
    <x v="0"/>
    <x v="6"/>
    <s v="07"/>
    <n v="0.14187024815715332"/>
    <x v="1"/>
  </r>
  <r>
    <s v="ORD100729"/>
    <s v="2024-11-23"/>
    <s v="Customer 113"/>
    <x v="0"/>
    <x v="4"/>
    <x v="2"/>
    <x v="4"/>
    <x v="6"/>
    <n v="136.56"/>
    <n v="2"/>
    <x v="4"/>
    <x v="723"/>
    <x v="8"/>
    <x v="1"/>
    <x v="1"/>
    <x v="10"/>
    <s v="11"/>
    <n v="0.21719390743995312"/>
    <x v="3"/>
  </r>
  <r>
    <s v="ORD100730"/>
    <s v="2024-07-10"/>
    <s v="Customer 194"/>
    <x v="0"/>
    <x v="0"/>
    <x v="2"/>
    <x v="8"/>
    <x v="20"/>
    <n v="1178.2"/>
    <n v="5"/>
    <x v="4"/>
    <x v="724"/>
    <x v="5"/>
    <x v="3"/>
    <x v="1"/>
    <x v="6"/>
    <s v="07"/>
    <n v="-0.14966049906637244"/>
    <x v="3"/>
  </r>
  <r>
    <s v="ORD100731"/>
    <s v="2025-07-06"/>
    <s v="Customer 43"/>
    <x v="1"/>
    <x v="1"/>
    <x v="1"/>
    <x v="5"/>
    <x v="7"/>
    <n v="995.56"/>
    <n v="1"/>
    <x v="6"/>
    <x v="725"/>
    <x v="6"/>
    <x v="1"/>
    <x v="0"/>
    <x v="6"/>
    <s v="07"/>
    <n v="0.38827393627707024"/>
    <x v="2"/>
  </r>
  <r>
    <s v="ORD100732"/>
    <s v="2025-03-22"/>
    <s v="Customer 197"/>
    <x v="3"/>
    <x v="12"/>
    <x v="2"/>
    <x v="6"/>
    <x v="8"/>
    <n v="2115.27"/>
    <n v="9"/>
    <x v="0"/>
    <x v="726"/>
    <x v="6"/>
    <x v="1"/>
    <x v="0"/>
    <x v="3"/>
    <s v="03"/>
    <n v="0.14840185886435303"/>
    <x v="0"/>
  </r>
  <r>
    <s v="ORD100733"/>
    <s v="2025-12-15"/>
    <s v="Customer 9"/>
    <x v="2"/>
    <x v="10"/>
    <x v="2"/>
    <x v="4"/>
    <x v="26"/>
    <n v="4180.05"/>
    <n v="5"/>
    <x v="6"/>
    <x v="727"/>
    <x v="3"/>
    <x v="1"/>
    <x v="0"/>
    <x v="4"/>
    <s v="12"/>
    <n v="0.34785947536512718"/>
    <x v="2"/>
  </r>
  <r>
    <s v="ORD100734"/>
    <s v="2024-05-31"/>
    <s v="Customer 43"/>
    <x v="3"/>
    <x v="12"/>
    <x v="1"/>
    <x v="5"/>
    <x v="24"/>
    <n v="6423.9"/>
    <n v="7"/>
    <x v="5"/>
    <x v="728"/>
    <x v="8"/>
    <x v="2"/>
    <x v="1"/>
    <x v="7"/>
    <s v="05"/>
    <n v="0.11371441024922556"/>
    <x v="3"/>
  </r>
  <r>
    <s v="ORD100735"/>
    <s v="2024-09-30"/>
    <s v="Customer 188"/>
    <x v="0"/>
    <x v="9"/>
    <x v="0"/>
    <x v="1"/>
    <x v="19"/>
    <n v="7439.13"/>
    <n v="9"/>
    <x v="3"/>
    <x v="729"/>
    <x v="9"/>
    <x v="2"/>
    <x v="1"/>
    <x v="5"/>
    <s v="09"/>
    <n v="0.31552345502767121"/>
    <x v="2"/>
  </r>
  <r>
    <s v="ORD100736"/>
    <s v="2024-11-06"/>
    <s v="Customer 104"/>
    <x v="2"/>
    <x v="6"/>
    <x v="1"/>
    <x v="3"/>
    <x v="4"/>
    <n v="1316.82"/>
    <n v="6"/>
    <x v="5"/>
    <x v="730"/>
    <x v="3"/>
    <x v="2"/>
    <x v="1"/>
    <x v="10"/>
    <s v="11"/>
    <n v="3.7172886195531663E-2"/>
    <x v="3"/>
  </r>
  <r>
    <s v="ORD100737"/>
    <s v="2024-03-11"/>
    <s v="Customer 166"/>
    <x v="3"/>
    <x v="13"/>
    <x v="2"/>
    <x v="4"/>
    <x v="26"/>
    <n v="8251.0400000000009"/>
    <n v="8"/>
    <x v="6"/>
    <x v="731"/>
    <x v="3"/>
    <x v="0"/>
    <x v="1"/>
    <x v="3"/>
    <s v="03"/>
    <n v="0.34205506214974107"/>
    <x v="2"/>
  </r>
  <r>
    <s v="ORD100738"/>
    <s v="2025-07-13"/>
    <s v="Customer 185"/>
    <x v="3"/>
    <x v="12"/>
    <x v="2"/>
    <x v="4"/>
    <x v="26"/>
    <n v="6730.1"/>
    <n v="10"/>
    <x v="2"/>
    <x v="732"/>
    <x v="1"/>
    <x v="3"/>
    <x v="0"/>
    <x v="6"/>
    <s v="07"/>
    <n v="-0.19062421063580037"/>
    <x v="1"/>
  </r>
  <r>
    <s v="ORD100739"/>
    <s v="2024-10-27"/>
    <s v="Customer 193"/>
    <x v="0"/>
    <x v="4"/>
    <x v="2"/>
    <x v="4"/>
    <x v="6"/>
    <n v="1941.51"/>
    <n v="3"/>
    <x v="1"/>
    <x v="733"/>
    <x v="1"/>
    <x v="2"/>
    <x v="1"/>
    <x v="2"/>
    <s v="10"/>
    <n v="0.11794428048271706"/>
    <x v="1"/>
  </r>
  <r>
    <s v="ORD100740"/>
    <s v="2024-09-10"/>
    <s v="Customer 170"/>
    <x v="0"/>
    <x v="0"/>
    <x v="1"/>
    <x v="3"/>
    <x v="4"/>
    <n v="6205.26"/>
    <n v="6"/>
    <x v="6"/>
    <x v="734"/>
    <x v="1"/>
    <x v="3"/>
    <x v="1"/>
    <x v="5"/>
    <s v="09"/>
    <n v="0.2588674769469772"/>
    <x v="2"/>
  </r>
  <r>
    <s v="ORD100741"/>
    <s v="2024-09-30"/>
    <s v="Customer 84"/>
    <x v="0"/>
    <x v="7"/>
    <x v="2"/>
    <x v="8"/>
    <x v="18"/>
    <n v="569.24"/>
    <n v="4"/>
    <x v="5"/>
    <x v="735"/>
    <x v="6"/>
    <x v="2"/>
    <x v="1"/>
    <x v="5"/>
    <s v="09"/>
    <n v="0.14932190288806127"/>
    <x v="3"/>
  </r>
  <r>
    <s v="ORD100742"/>
    <s v="2024-06-25"/>
    <s v="Customer 45"/>
    <x v="3"/>
    <x v="12"/>
    <x v="0"/>
    <x v="2"/>
    <x v="11"/>
    <n v="3712.87"/>
    <n v="7"/>
    <x v="1"/>
    <x v="736"/>
    <x v="5"/>
    <x v="3"/>
    <x v="1"/>
    <x v="9"/>
    <s v="06"/>
    <n v="3.3707078351787163E-2"/>
    <x v="1"/>
  </r>
  <r>
    <s v="ORD100743"/>
    <s v="2024-05-26"/>
    <s v="Customer 31"/>
    <x v="3"/>
    <x v="15"/>
    <x v="1"/>
    <x v="5"/>
    <x v="7"/>
    <n v="578.16999999999996"/>
    <n v="1"/>
    <x v="1"/>
    <x v="737"/>
    <x v="7"/>
    <x v="1"/>
    <x v="1"/>
    <x v="7"/>
    <s v="05"/>
    <n v="5.7042046456924435E-2"/>
    <x v="1"/>
  </r>
  <r>
    <s v="ORD100744"/>
    <s v="2024-01-18"/>
    <s v="Customer 192"/>
    <x v="2"/>
    <x v="6"/>
    <x v="0"/>
    <x v="0"/>
    <x v="22"/>
    <n v="1010.72"/>
    <n v="4"/>
    <x v="3"/>
    <x v="738"/>
    <x v="6"/>
    <x v="3"/>
    <x v="1"/>
    <x v="0"/>
    <s v="01"/>
    <n v="4.4710701282254232E-2"/>
    <x v="2"/>
  </r>
  <r>
    <s v="ORD100745"/>
    <s v="2025-11-01"/>
    <s v="Customer 85"/>
    <x v="2"/>
    <x v="6"/>
    <x v="0"/>
    <x v="0"/>
    <x v="0"/>
    <n v="117.15"/>
    <n v="1"/>
    <x v="0"/>
    <x v="739"/>
    <x v="7"/>
    <x v="3"/>
    <x v="0"/>
    <x v="10"/>
    <s v="11"/>
    <n v="0.34212548015364913"/>
    <x v="0"/>
  </r>
  <r>
    <s v="ORD100746"/>
    <s v="2025-09-18"/>
    <s v="Customer 137"/>
    <x v="3"/>
    <x v="14"/>
    <x v="2"/>
    <x v="8"/>
    <x v="12"/>
    <n v="3983.16"/>
    <n v="4"/>
    <x v="3"/>
    <x v="740"/>
    <x v="8"/>
    <x v="3"/>
    <x v="0"/>
    <x v="5"/>
    <s v="09"/>
    <n v="-1.8944757428775143E-2"/>
    <x v="2"/>
  </r>
  <r>
    <s v="ORD100747"/>
    <s v="2025-05-19"/>
    <s v="Customer 41"/>
    <x v="0"/>
    <x v="9"/>
    <x v="0"/>
    <x v="0"/>
    <x v="0"/>
    <n v="2338.08"/>
    <n v="3"/>
    <x v="4"/>
    <x v="741"/>
    <x v="1"/>
    <x v="1"/>
    <x v="0"/>
    <x v="7"/>
    <s v="05"/>
    <n v="8.5027030726065836E-2"/>
    <x v="3"/>
  </r>
  <r>
    <s v="ORD100748"/>
    <s v="2024-07-24"/>
    <s v="Customer 31"/>
    <x v="0"/>
    <x v="0"/>
    <x v="1"/>
    <x v="7"/>
    <x v="9"/>
    <n v="1177.23"/>
    <n v="1"/>
    <x v="3"/>
    <x v="742"/>
    <x v="0"/>
    <x v="2"/>
    <x v="1"/>
    <x v="6"/>
    <s v="07"/>
    <n v="-1.9664806367489785E-2"/>
    <x v="2"/>
  </r>
  <r>
    <s v="ORD100749"/>
    <s v="2025-02-10"/>
    <s v="Customer 65"/>
    <x v="1"/>
    <x v="2"/>
    <x v="1"/>
    <x v="7"/>
    <x v="16"/>
    <n v="4640.28"/>
    <n v="4"/>
    <x v="4"/>
    <x v="743"/>
    <x v="4"/>
    <x v="3"/>
    <x v="0"/>
    <x v="1"/>
    <s v="02"/>
    <n v="4.393053867439034E-2"/>
    <x v="3"/>
  </r>
  <r>
    <s v="ORD100750"/>
    <s v="2024-05-13"/>
    <s v="Customer 33"/>
    <x v="1"/>
    <x v="5"/>
    <x v="1"/>
    <x v="3"/>
    <x v="5"/>
    <n v="6200.64"/>
    <n v="6"/>
    <x v="5"/>
    <x v="744"/>
    <x v="3"/>
    <x v="0"/>
    <x v="1"/>
    <x v="7"/>
    <s v="05"/>
    <n v="0.10771791298962687"/>
    <x v="3"/>
  </r>
  <r>
    <s v="ORD100751"/>
    <s v="2025-04-21"/>
    <s v="Customer 51"/>
    <x v="1"/>
    <x v="5"/>
    <x v="2"/>
    <x v="8"/>
    <x v="18"/>
    <n v="4179.6499999999996"/>
    <n v="5"/>
    <x v="3"/>
    <x v="745"/>
    <x v="3"/>
    <x v="0"/>
    <x v="0"/>
    <x v="8"/>
    <s v="04"/>
    <n v="0.2007799696146807"/>
    <x v="2"/>
  </r>
  <r>
    <s v="ORD100752"/>
    <s v="2025-11-11"/>
    <s v="Customer 103"/>
    <x v="3"/>
    <x v="13"/>
    <x v="2"/>
    <x v="6"/>
    <x v="23"/>
    <n v="82.72"/>
    <n v="4"/>
    <x v="3"/>
    <x v="746"/>
    <x v="2"/>
    <x v="2"/>
    <x v="0"/>
    <x v="10"/>
    <s v="11"/>
    <n v="0.31939071566731142"/>
    <x v="2"/>
  </r>
  <r>
    <s v="ORD100753"/>
    <s v="2025-12-24"/>
    <s v="Customer 67"/>
    <x v="2"/>
    <x v="6"/>
    <x v="0"/>
    <x v="2"/>
    <x v="2"/>
    <n v="2154.6"/>
    <n v="4"/>
    <x v="3"/>
    <x v="747"/>
    <x v="8"/>
    <x v="0"/>
    <x v="0"/>
    <x v="4"/>
    <s v="12"/>
    <n v="0.16448528729230483"/>
    <x v="2"/>
  </r>
  <r>
    <s v="ORD100754"/>
    <s v="2024-10-02"/>
    <s v="Customer 146"/>
    <x v="2"/>
    <x v="10"/>
    <x v="0"/>
    <x v="0"/>
    <x v="25"/>
    <n v="4813.68"/>
    <n v="6"/>
    <x v="6"/>
    <x v="748"/>
    <x v="6"/>
    <x v="0"/>
    <x v="1"/>
    <x v="2"/>
    <s v="10"/>
    <n v="0.27511384221635005"/>
    <x v="2"/>
  </r>
  <r>
    <s v="ORD100755"/>
    <s v="2024-07-18"/>
    <s v="Customer 21"/>
    <x v="1"/>
    <x v="2"/>
    <x v="2"/>
    <x v="6"/>
    <x v="8"/>
    <n v="3681.04"/>
    <n v="4"/>
    <x v="0"/>
    <x v="749"/>
    <x v="2"/>
    <x v="1"/>
    <x v="1"/>
    <x v="6"/>
    <s v="07"/>
    <n v="0.37923793275813356"/>
    <x v="0"/>
  </r>
  <r>
    <s v="ORD100756"/>
    <s v="2025-07-28"/>
    <s v="Customer 33"/>
    <x v="2"/>
    <x v="6"/>
    <x v="2"/>
    <x v="4"/>
    <x v="6"/>
    <n v="1204.68"/>
    <n v="4"/>
    <x v="1"/>
    <x v="750"/>
    <x v="9"/>
    <x v="0"/>
    <x v="0"/>
    <x v="6"/>
    <s v="07"/>
    <n v="7.1139223694259054E-2"/>
    <x v="1"/>
  </r>
  <r>
    <s v="ORD100757"/>
    <s v="2024-10-05"/>
    <s v="Customer 33"/>
    <x v="0"/>
    <x v="7"/>
    <x v="0"/>
    <x v="1"/>
    <x v="19"/>
    <n v="715.54"/>
    <n v="7"/>
    <x v="1"/>
    <x v="751"/>
    <x v="9"/>
    <x v="2"/>
    <x v="1"/>
    <x v="2"/>
    <s v="10"/>
    <n v="-5.893451099868631E-2"/>
    <x v="1"/>
  </r>
  <r>
    <s v="ORD100758"/>
    <s v="2025-11-26"/>
    <s v="Customer 198"/>
    <x v="2"/>
    <x v="10"/>
    <x v="1"/>
    <x v="3"/>
    <x v="4"/>
    <n v="740.48"/>
    <n v="2"/>
    <x v="6"/>
    <x v="752"/>
    <x v="4"/>
    <x v="2"/>
    <x v="0"/>
    <x v="10"/>
    <s v="11"/>
    <n v="0.20863493949870354"/>
    <x v="2"/>
  </r>
  <r>
    <s v="ORD100759"/>
    <s v="2025-12-06"/>
    <s v="Customer 25"/>
    <x v="1"/>
    <x v="2"/>
    <x v="0"/>
    <x v="2"/>
    <x v="21"/>
    <n v="7640.08"/>
    <n v="7"/>
    <x v="6"/>
    <x v="753"/>
    <x v="3"/>
    <x v="2"/>
    <x v="0"/>
    <x v="4"/>
    <s v="12"/>
    <n v="6.4704819844818379E-2"/>
    <x v="2"/>
  </r>
  <r>
    <s v="ORD100760"/>
    <s v="2025-12-04"/>
    <s v="Customer 152"/>
    <x v="3"/>
    <x v="13"/>
    <x v="2"/>
    <x v="8"/>
    <x v="12"/>
    <n v="5272.68"/>
    <n v="7"/>
    <x v="1"/>
    <x v="754"/>
    <x v="9"/>
    <x v="2"/>
    <x v="0"/>
    <x v="4"/>
    <s v="12"/>
    <n v="0.17367448811610034"/>
    <x v="1"/>
  </r>
  <r>
    <s v="ORD100761"/>
    <s v="2024-07-23"/>
    <s v="Customer 127"/>
    <x v="0"/>
    <x v="4"/>
    <x v="1"/>
    <x v="7"/>
    <x v="9"/>
    <n v="462.48"/>
    <n v="2"/>
    <x v="0"/>
    <x v="755"/>
    <x v="6"/>
    <x v="0"/>
    <x v="1"/>
    <x v="6"/>
    <s v="07"/>
    <n v="0.20245199792423454"/>
    <x v="0"/>
  </r>
  <r>
    <s v="ORD100762"/>
    <s v="2025-07-09"/>
    <s v="Customer 36"/>
    <x v="3"/>
    <x v="15"/>
    <x v="2"/>
    <x v="4"/>
    <x v="26"/>
    <n v="11579"/>
    <n v="10"/>
    <x v="6"/>
    <x v="756"/>
    <x v="3"/>
    <x v="3"/>
    <x v="0"/>
    <x v="6"/>
    <s v="07"/>
    <n v="0.24120649451593401"/>
    <x v="2"/>
  </r>
  <r>
    <s v="ORD100763"/>
    <s v="2024-04-04"/>
    <s v="Customer 46"/>
    <x v="0"/>
    <x v="4"/>
    <x v="0"/>
    <x v="1"/>
    <x v="3"/>
    <n v="2221.6799999999998"/>
    <n v="4"/>
    <x v="2"/>
    <x v="757"/>
    <x v="8"/>
    <x v="3"/>
    <x v="1"/>
    <x v="8"/>
    <s v="04"/>
    <n v="-0.19022541500126033"/>
    <x v="1"/>
  </r>
  <r>
    <s v="ORD100764"/>
    <s v="2024-03-09"/>
    <s v="Customer 144"/>
    <x v="1"/>
    <x v="2"/>
    <x v="0"/>
    <x v="0"/>
    <x v="22"/>
    <n v="4955.28"/>
    <n v="6"/>
    <x v="1"/>
    <x v="758"/>
    <x v="7"/>
    <x v="0"/>
    <x v="1"/>
    <x v="3"/>
    <s v="03"/>
    <n v="-0.17151805750633667"/>
    <x v="1"/>
  </r>
  <r>
    <s v="ORD100765"/>
    <s v="2024-01-04"/>
    <s v="Customer 182"/>
    <x v="2"/>
    <x v="6"/>
    <x v="1"/>
    <x v="7"/>
    <x v="9"/>
    <n v="1514.52"/>
    <n v="3"/>
    <x v="5"/>
    <x v="759"/>
    <x v="5"/>
    <x v="1"/>
    <x v="1"/>
    <x v="0"/>
    <s v="01"/>
    <n v="0.29442331563795793"/>
    <x v="3"/>
  </r>
  <r>
    <s v="ORD100766"/>
    <s v="2025-04-30"/>
    <s v="Customer 21"/>
    <x v="1"/>
    <x v="5"/>
    <x v="1"/>
    <x v="5"/>
    <x v="24"/>
    <n v="3465.36"/>
    <n v="8"/>
    <x v="3"/>
    <x v="760"/>
    <x v="3"/>
    <x v="2"/>
    <x v="0"/>
    <x v="8"/>
    <s v="04"/>
    <n v="0.34085924694692615"/>
    <x v="2"/>
  </r>
  <r>
    <s v="ORD100767"/>
    <s v="2024-11-08"/>
    <s v="Customer 151"/>
    <x v="2"/>
    <x v="8"/>
    <x v="1"/>
    <x v="5"/>
    <x v="7"/>
    <n v="201.54"/>
    <n v="6"/>
    <x v="2"/>
    <x v="761"/>
    <x v="9"/>
    <x v="1"/>
    <x v="1"/>
    <x v="10"/>
    <s v="11"/>
    <n v="0.13004862558301084"/>
    <x v="1"/>
  </r>
  <r>
    <s v="ORD100768"/>
    <s v="2024-03-12"/>
    <s v="Customer 60"/>
    <x v="0"/>
    <x v="4"/>
    <x v="1"/>
    <x v="3"/>
    <x v="5"/>
    <n v="8638.3799999999992"/>
    <n v="9"/>
    <x v="5"/>
    <x v="762"/>
    <x v="3"/>
    <x v="3"/>
    <x v="1"/>
    <x v="3"/>
    <s v="03"/>
    <n v="0.14186919306629253"/>
    <x v="3"/>
  </r>
  <r>
    <s v="ORD100769"/>
    <s v="2025-06-04"/>
    <s v="Customer 95"/>
    <x v="3"/>
    <x v="15"/>
    <x v="0"/>
    <x v="1"/>
    <x v="3"/>
    <n v="2137.08"/>
    <n v="3"/>
    <x v="5"/>
    <x v="763"/>
    <x v="3"/>
    <x v="2"/>
    <x v="0"/>
    <x v="9"/>
    <s v="06"/>
    <n v="0.12236322458681941"/>
    <x v="3"/>
  </r>
  <r>
    <s v="ORD100770"/>
    <s v="2025-08-07"/>
    <s v="Customer 37"/>
    <x v="2"/>
    <x v="8"/>
    <x v="2"/>
    <x v="6"/>
    <x v="13"/>
    <n v="140.57"/>
    <n v="1"/>
    <x v="3"/>
    <x v="764"/>
    <x v="7"/>
    <x v="1"/>
    <x v="0"/>
    <x v="11"/>
    <s v="08"/>
    <n v="-4.2825638471935691E-2"/>
    <x v="2"/>
  </r>
  <r>
    <s v="ORD100771"/>
    <s v="2024-11-19"/>
    <s v="Customer 10"/>
    <x v="2"/>
    <x v="10"/>
    <x v="2"/>
    <x v="6"/>
    <x v="23"/>
    <n v="7473.4"/>
    <n v="10"/>
    <x v="5"/>
    <x v="765"/>
    <x v="5"/>
    <x v="3"/>
    <x v="1"/>
    <x v="10"/>
    <s v="11"/>
    <n v="0.1842120052452699"/>
    <x v="3"/>
  </r>
  <r>
    <s v="ORD100772"/>
    <s v="2024-02-22"/>
    <s v="Customer 167"/>
    <x v="2"/>
    <x v="10"/>
    <x v="1"/>
    <x v="7"/>
    <x v="9"/>
    <n v="4842.6400000000003"/>
    <n v="8"/>
    <x v="3"/>
    <x v="766"/>
    <x v="3"/>
    <x v="1"/>
    <x v="1"/>
    <x v="1"/>
    <s v="02"/>
    <n v="0.17522673583004308"/>
    <x v="2"/>
  </r>
  <r>
    <s v="ORD100773"/>
    <s v="2025-12-20"/>
    <s v="Customer 107"/>
    <x v="3"/>
    <x v="12"/>
    <x v="0"/>
    <x v="0"/>
    <x v="0"/>
    <n v="890.08"/>
    <n v="1"/>
    <x v="4"/>
    <x v="767"/>
    <x v="6"/>
    <x v="0"/>
    <x v="0"/>
    <x v="4"/>
    <s v="12"/>
    <n v="7.8745730720834087E-2"/>
    <x v="3"/>
  </r>
  <r>
    <s v="ORD100774"/>
    <s v="2025-12-07"/>
    <s v="Customer 3"/>
    <x v="2"/>
    <x v="8"/>
    <x v="2"/>
    <x v="6"/>
    <x v="23"/>
    <n v="2484.7800000000002"/>
    <n v="3"/>
    <x v="2"/>
    <x v="768"/>
    <x v="9"/>
    <x v="1"/>
    <x v="0"/>
    <x v="4"/>
    <s v="12"/>
    <n v="-0.23216944759697034"/>
    <x v="1"/>
  </r>
  <r>
    <s v="ORD100775"/>
    <s v="2025-03-15"/>
    <s v="Customer 124"/>
    <x v="2"/>
    <x v="8"/>
    <x v="1"/>
    <x v="5"/>
    <x v="15"/>
    <n v="1459.84"/>
    <n v="8"/>
    <x v="2"/>
    <x v="769"/>
    <x v="1"/>
    <x v="3"/>
    <x v="0"/>
    <x v="3"/>
    <s v="03"/>
    <n v="-1.9043182814555023E-2"/>
    <x v="1"/>
  </r>
  <r>
    <s v="ORD100776"/>
    <s v="2024-06-17"/>
    <s v="Customer 118"/>
    <x v="2"/>
    <x v="3"/>
    <x v="0"/>
    <x v="2"/>
    <x v="11"/>
    <n v="1401.72"/>
    <n v="3"/>
    <x v="6"/>
    <x v="770"/>
    <x v="7"/>
    <x v="0"/>
    <x v="1"/>
    <x v="9"/>
    <s v="06"/>
    <n v="0.33946151870559027"/>
    <x v="2"/>
  </r>
  <r>
    <s v="ORD100777"/>
    <s v="2024-10-30"/>
    <s v="Customer 107"/>
    <x v="0"/>
    <x v="4"/>
    <x v="1"/>
    <x v="5"/>
    <x v="7"/>
    <n v="565.95000000000005"/>
    <n v="5"/>
    <x v="3"/>
    <x v="771"/>
    <x v="2"/>
    <x v="0"/>
    <x v="1"/>
    <x v="2"/>
    <s v="10"/>
    <n v="0.29550313631946284"/>
    <x v="2"/>
  </r>
  <r>
    <s v="ORD100778"/>
    <s v="2025-07-13"/>
    <s v="Customer 16"/>
    <x v="3"/>
    <x v="13"/>
    <x v="0"/>
    <x v="2"/>
    <x v="11"/>
    <n v="8168.3"/>
    <n v="10"/>
    <x v="2"/>
    <x v="772"/>
    <x v="5"/>
    <x v="0"/>
    <x v="0"/>
    <x v="6"/>
    <s v="07"/>
    <n v="6.1967606478704258E-2"/>
    <x v="1"/>
  </r>
  <r>
    <s v="ORD100779"/>
    <s v="2024-03-23"/>
    <s v="Customer 83"/>
    <x v="0"/>
    <x v="9"/>
    <x v="1"/>
    <x v="3"/>
    <x v="14"/>
    <n v="6532.68"/>
    <n v="7"/>
    <x v="2"/>
    <x v="773"/>
    <x v="6"/>
    <x v="2"/>
    <x v="1"/>
    <x v="3"/>
    <s v="03"/>
    <n v="8.2984318840047269E-2"/>
    <x v="1"/>
  </r>
  <r>
    <s v="ORD100780"/>
    <s v="2025-09-04"/>
    <s v="Customer 32"/>
    <x v="1"/>
    <x v="1"/>
    <x v="2"/>
    <x v="6"/>
    <x v="13"/>
    <n v="5176.3999999999996"/>
    <n v="8"/>
    <x v="5"/>
    <x v="774"/>
    <x v="7"/>
    <x v="0"/>
    <x v="0"/>
    <x v="5"/>
    <s v="09"/>
    <n v="0.14707905107796926"/>
    <x v="3"/>
  </r>
  <r>
    <s v="ORD100781"/>
    <s v="2025-08-03"/>
    <s v="Customer 139"/>
    <x v="1"/>
    <x v="5"/>
    <x v="0"/>
    <x v="1"/>
    <x v="19"/>
    <n v="9179.91"/>
    <n v="9"/>
    <x v="1"/>
    <x v="775"/>
    <x v="1"/>
    <x v="1"/>
    <x v="0"/>
    <x v="11"/>
    <s v="08"/>
    <n v="0.1591616911276908"/>
    <x v="1"/>
  </r>
  <r>
    <s v="ORD100782"/>
    <s v="2025-09-19"/>
    <s v="Customer 103"/>
    <x v="2"/>
    <x v="10"/>
    <x v="2"/>
    <x v="4"/>
    <x v="10"/>
    <n v="1034.8800000000001"/>
    <n v="2"/>
    <x v="3"/>
    <x v="776"/>
    <x v="4"/>
    <x v="2"/>
    <x v="0"/>
    <x v="5"/>
    <s v="09"/>
    <n v="1.5277133580705008E-2"/>
    <x v="2"/>
  </r>
  <r>
    <s v="ORD100783"/>
    <s v="2025-09-14"/>
    <s v="Customer 111"/>
    <x v="2"/>
    <x v="6"/>
    <x v="1"/>
    <x v="7"/>
    <x v="17"/>
    <n v="6617.6"/>
    <n v="10"/>
    <x v="4"/>
    <x v="777"/>
    <x v="5"/>
    <x v="1"/>
    <x v="0"/>
    <x v="5"/>
    <s v="09"/>
    <n v="0.19702157882011603"/>
    <x v="3"/>
  </r>
  <r>
    <s v="ORD100784"/>
    <s v="2024-04-23"/>
    <s v="Customer 106"/>
    <x v="3"/>
    <x v="14"/>
    <x v="2"/>
    <x v="6"/>
    <x v="8"/>
    <n v="2541.48"/>
    <n v="4"/>
    <x v="6"/>
    <x v="778"/>
    <x v="6"/>
    <x v="3"/>
    <x v="1"/>
    <x v="8"/>
    <s v="04"/>
    <n v="0.34599131214882667"/>
    <x v="2"/>
  </r>
  <r>
    <s v="ORD100785"/>
    <s v="2025-07-19"/>
    <s v="Customer 150"/>
    <x v="3"/>
    <x v="15"/>
    <x v="1"/>
    <x v="7"/>
    <x v="16"/>
    <n v="10389.33"/>
    <n v="9"/>
    <x v="6"/>
    <x v="779"/>
    <x v="8"/>
    <x v="1"/>
    <x v="0"/>
    <x v="6"/>
    <s v="07"/>
    <n v="5.186474969993253E-2"/>
    <x v="2"/>
  </r>
  <r>
    <s v="ORD100786"/>
    <s v="2025-01-20"/>
    <s v="Customer 86"/>
    <x v="3"/>
    <x v="13"/>
    <x v="0"/>
    <x v="2"/>
    <x v="11"/>
    <n v="1832.1"/>
    <n v="6"/>
    <x v="3"/>
    <x v="780"/>
    <x v="6"/>
    <x v="0"/>
    <x v="0"/>
    <x v="0"/>
    <s v="01"/>
    <n v="6.7720102614486105E-2"/>
    <x v="2"/>
  </r>
  <r>
    <s v="ORD100787"/>
    <s v="2024-07-06"/>
    <s v="Customer 125"/>
    <x v="1"/>
    <x v="11"/>
    <x v="1"/>
    <x v="5"/>
    <x v="15"/>
    <n v="555.87"/>
    <n v="7"/>
    <x v="3"/>
    <x v="781"/>
    <x v="8"/>
    <x v="2"/>
    <x v="1"/>
    <x v="6"/>
    <s v="07"/>
    <n v="0.148541925270297"/>
    <x v="2"/>
  </r>
  <r>
    <s v="ORD100788"/>
    <s v="2025-05-10"/>
    <s v="Customer 181"/>
    <x v="3"/>
    <x v="14"/>
    <x v="0"/>
    <x v="1"/>
    <x v="19"/>
    <n v="1946.35"/>
    <n v="7"/>
    <x v="6"/>
    <x v="782"/>
    <x v="3"/>
    <x v="2"/>
    <x v="0"/>
    <x v="7"/>
    <s v="05"/>
    <n v="0.31646928866853347"/>
    <x v="2"/>
  </r>
  <r>
    <s v="ORD100789"/>
    <s v="2025-06-28"/>
    <s v="Customer 9"/>
    <x v="2"/>
    <x v="6"/>
    <x v="1"/>
    <x v="5"/>
    <x v="7"/>
    <n v="4632.72"/>
    <n v="4"/>
    <x v="6"/>
    <x v="783"/>
    <x v="0"/>
    <x v="0"/>
    <x v="0"/>
    <x v="9"/>
    <s v="06"/>
    <n v="0.28134875407967674"/>
    <x v="2"/>
  </r>
  <r>
    <s v="ORD100790"/>
    <s v="2024-03-02"/>
    <s v="Customer 62"/>
    <x v="3"/>
    <x v="15"/>
    <x v="2"/>
    <x v="8"/>
    <x v="18"/>
    <n v="6259.47"/>
    <n v="7"/>
    <x v="3"/>
    <x v="784"/>
    <x v="0"/>
    <x v="0"/>
    <x v="1"/>
    <x v="3"/>
    <s v="03"/>
    <n v="7.9425254853845453E-2"/>
    <x v="2"/>
  </r>
  <r>
    <s v="ORD100791"/>
    <s v="2025-06-13"/>
    <s v="Customer 71"/>
    <x v="0"/>
    <x v="7"/>
    <x v="0"/>
    <x v="1"/>
    <x v="1"/>
    <n v="7803.27"/>
    <n v="9"/>
    <x v="2"/>
    <x v="98"/>
    <x v="6"/>
    <x v="0"/>
    <x v="0"/>
    <x v="9"/>
    <s v="06"/>
    <n v="1.4393965606726409E-2"/>
    <x v="1"/>
  </r>
  <r>
    <s v="ORD100792"/>
    <s v="2024-12-07"/>
    <s v="Customer 12"/>
    <x v="3"/>
    <x v="15"/>
    <x v="0"/>
    <x v="1"/>
    <x v="3"/>
    <n v="646.82000000000005"/>
    <n v="1"/>
    <x v="6"/>
    <x v="785"/>
    <x v="3"/>
    <x v="0"/>
    <x v="1"/>
    <x v="4"/>
    <s v="12"/>
    <n v="0.27737237562227512"/>
    <x v="2"/>
  </r>
  <r>
    <s v="ORD100793"/>
    <s v="2024-08-08"/>
    <s v="Customer 151"/>
    <x v="0"/>
    <x v="0"/>
    <x v="0"/>
    <x v="2"/>
    <x v="11"/>
    <n v="7772.8"/>
    <n v="8"/>
    <x v="5"/>
    <x v="786"/>
    <x v="3"/>
    <x v="3"/>
    <x v="1"/>
    <x v="11"/>
    <s v="08"/>
    <n v="0.15991405928365582"/>
    <x v="3"/>
  </r>
  <r>
    <s v="ORD100794"/>
    <s v="2025-04-24"/>
    <s v="Customer 141"/>
    <x v="1"/>
    <x v="2"/>
    <x v="0"/>
    <x v="0"/>
    <x v="25"/>
    <n v="1366.24"/>
    <n v="4"/>
    <x v="2"/>
    <x v="787"/>
    <x v="1"/>
    <x v="0"/>
    <x v="0"/>
    <x v="8"/>
    <s v="04"/>
    <n v="-1.8496018269118165E-2"/>
    <x v="1"/>
  </r>
  <r>
    <s v="ORD100795"/>
    <s v="2024-02-16"/>
    <s v="Customer 145"/>
    <x v="2"/>
    <x v="6"/>
    <x v="0"/>
    <x v="2"/>
    <x v="2"/>
    <n v="3804.56"/>
    <n v="4"/>
    <x v="2"/>
    <x v="788"/>
    <x v="8"/>
    <x v="0"/>
    <x v="1"/>
    <x v="1"/>
    <s v="02"/>
    <n v="-0.13197846794373069"/>
    <x v="1"/>
  </r>
  <r>
    <s v="ORD100796"/>
    <s v="2024-07-03"/>
    <s v="Customer 136"/>
    <x v="3"/>
    <x v="12"/>
    <x v="1"/>
    <x v="3"/>
    <x v="5"/>
    <n v="776.83"/>
    <n v="1"/>
    <x v="6"/>
    <x v="789"/>
    <x v="1"/>
    <x v="3"/>
    <x v="1"/>
    <x v="6"/>
    <s v="07"/>
    <n v="5.9961638968628911E-2"/>
    <x v="2"/>
  </r>
  <r>
    <s v="ORD100797"/>
    <s v="2024-06-04"/>
    <s v="Customer 126"/>
    <x v="2"/>
    <x v="10"/>
    <x v="1"/>
    <x v="5"/>
    <x v="24"/>
    <n v="740.64"/>
    <n v="1"/>
    <x v="2"/>
    <x v="790"/>
    <x v="9"/>
    <x v="3"/>
    <x v="1"/>
    <x v="9"/>
    <s v="06"/>
    <n v="7.9660833873406779E-4"/>
    <x v="1"/>
  </r>
  <r>
    <s v="ORD100798"/>
    <s v="2024-08-31"/>
    <s v="Customer 53"/>
    <x v="2"/>
    <x v="3"/>
    <x v="2"/>
    <x v="6"/>
    <x v="23"/>
    <n v="5440.4"/>
    <n v="5"/>
    <x v="5"/>
    <x v="791"/>
    <x v="2"/>
    <x v="0"/>
    <x v="1"/>
    <x v="11"/>
    <s v="08"/>
    <n v="0.28132490258069259"/>
    <x v="3"/>
  </r>
  <r>
    <s v="ORD100799"/>
    <s v="2025-07-05"/>
    <s v="Customer 51"/>
    <x v="1"/>
    <x v="11"/>
    <x v="1"/>
    <x v="3"/>
    <x v="14"/>
    <n v="2208.3000000000002"/>
    <n v="5"/>
    <x v="0"/>
    <x v="792"/>
    <x v="5"/>
    <x v="0"/>
    <x v="0"/>
    <x v="6"/>
    <s v="07"/>
    <n v="0.25548159217497618"/>
    <x v="0"/>
  </r>
  <r>
    <s v="ORD100800"/>
    <s v="2024-01-10"/>
    <s v="Customer 200"/>
    <x v="2"/>
    <x v="6"/>
    <x v="2"/>
    <x v="6"/>
    <x v="8"/>
    <n v="1682.62"/>
    <n v="2"/>
    <x v="5"/>
    <x v="793"/>
    <x v="9"/>
    <x v="3"/>
    <x v="1"/>
    <x v="0"/>
    <s v="01"/>
    <n v="0.24342394598899336"/>
    <x v="3"/>
  </r>
  <r>
    <s v="ORD100801"/>
    <s v="2024-08-30"/>
    <s v="Customer 99"/>
    <x v="2"/>
    <x v="10"/>
    <x v="0"/>
    <x v="0"/>
    <x v="22"/>
    <n v="8234.1"/>
    <n v="7"/>
    <x v="6"/>
    <x v="794"/>
    <x v="2"/>
    <x v="3"/>
    <x v="1"/>
    <x v="11"/>
    <s v="08"/>
    <n v="0.21955404962290959"/>
    <x v="2"/>
  </r>
  <r>
    <s v="ORD100802"/>
    <s v="2024-09-04"/>
    <s v="Customer 49"/>
    <x v="1"/>
    <x v="5"/>
    <x v="0"/>
    <x v="2"/>
    <x v="2"/>
    <n v="5416.8"/>
    <n v="8"/>
    <x v="6"/>
    <x v="795"/>
    <x v="1"/>
    <x v="3"/>
    <x v="1"/>
    <x v="5"/>
    <s v="09"/>
    <n v="0.17154223896027174"/>
    <x v="2"/>
  </r>
  <r>
    <s v="ORD100803"/>
    <s v="2024-04-27"/>
    <s v="Customer 173"/>
    <x v="3"/>
    <x v="13"/>
    <x v="0"/>
    <x v="0"/>
    <x v="22"/>
    <n v="223.46"/>
    <n v="2"/>
    <x v="5"/>
    <x v="796"/>
    <x v="3"/>
    <x v="3"/>
    <x v="1"/>
    <x v="8"/>
    <s v="04"/>
    <n v="-6.9229392284972699E-2"/>
    <x v="3"/>
  </r>
  <r>
    <s v="ORD100804"/>
    <s v="2025-03-21"/>
    <s v="Customer 104"/>
    <x v="3"/>
    <x v="12"/>
    <x v="2"/>
    <x v="6"/>
    <x v="8"/>
    <n v="5165.8500000000004"/>
    <n v="5"/>
    <x v="6"/>
    <x v="797"/>
    <x v="6"/>
    <x v="0"/>
    <x v="0"/>
    <x v="3"/>
    <s v="03"/>
    <n v="0.24939748540898396"/>
    <x v="2"/>
  </r>
  <r>
    <s v="ORD100805"/>
    <s v="2025-08-30"/>
    <s v="Customer 173"/>
    <x v="0"/>
    <x v="7"/>
    <x v="0"/>
    <x v="1"/>
    <x v="1"/>
    <n v="122.64"/>
    <n v="6"/>
    <x v="2"/>
    <x v="798"/>
    <x v="4"/>
    <x v="3"/>
    <x v="0"/>
    <x v="11"/>
    <s v="08"/>
    <n v="0.12075994781474234"/>
    <x v="1"/>
  </r>
  <r>
    <s v="ORD100806"/>
    <s v="2024-08-12"/>
    <s v="Customer 63"/>
    <x v="2"/>
    <x v="6"/>
    <x v="1"/>
    <x v="3"/>
    <x v="4"/>
    <n v="109"/>
    <n v="5"/>
    <x v="1"/>
    <x v="799"/>
    <x v="2"/>
    <x v="2"/>
    <x v="1"/>
    <x v="11"/>
    <s v="08"/>
    <n v="-4.7614678899082573E-2"/>
    <x v="1"/>
  </r>
  <r>
    <s v="ORD100807"/>
    <s v="2024-09-03"/>
    <s v="Customer 130"/>
    <x v="1"/>
    <x v="5"/>
    <x v="2"/>
    <x v="6"/>
    <x v="8"/>
    <n v="1819.24"/>
    <n v="4"/>
    <x v="2"/>
    <x v="800"/>
    <x v="0"/>
    <x v="3"/>
    <x v="1"/>
    <x v="5"/>
    <s v="09"/>
    <n v="-0.20777357577889669"/>
    <x v="1"/>
  </r>
  <r>
    <s v="ORD100808"/>
    <s v="2024-11-05"/>
    <s v="Customer 58"/>
    <x v="2"/>
    <x v="6"/>
    <x v="0"/>
    <x v="2"/>
    <x v="2"/>
    <n v="6440"/>
    <n v="8"/>
    <x v="3"/>
    <x v="801"/>
    <x v="2"/>
    <x v="2"/>
    <x v="1"/>
    <x v="10"/>
    <s v="11"/>
    <n v="0.31505279503105593"/>
    <x v="2"/>
  </r>
  <r>
    <s v="ORD100809"/>
    <s v="2024-05-30"/>
    <s v="Customer 12"/>
    <x v="1"/>
    <x v="2"/>
    <x v="2"/>
    <x v="4"/>
    <x v="6"/>
    <n v="7017.36"/>
    <n v="6"/>
    <x v="4"/>
    <x v="802"/>
    <x v="5"/>
    <x v="0"/>
    <x v="1"/>
    <x v="7"/>
    <s v="05"/>
    <n v="-7.0545048280264949E-2"/>
    <x v="3"/>
  </r>
  <r>
    <s v="ORD100810"/>
    <s v="2025-10-23"/>
    <s v="Customer 178"/>
    <x v="3"/>
    <x v="15"/>
    <x v="0"/>
    <x v="0"/>
    <x v="22"/>
    <n v="5200.1099999999997"/>
    <n v="9"/>
    <x v="0"/>
    <x v="803"/>
    <x v="7"/>
    <x v="0"/>
    <x v="0"/>
    <x v="2"/>
    <s v="10"/>
    <n v="0.38539377051639295"/>
    <x v="0"/>
  </r>
  <r>
    <s v="ORD100811"/>
    <s v="2025-09-03"/>
    <s v="Customer 50"/>
    <x v="1"/>
    <x v="1"/>
    <x v="2"/>
    <x v="8"/>
    <x v="20"/>
    <n v="4239.76"/>
    <n v="4"/>
    <x v="5"/>
    <x v="804"/>
    <x v="1"/>
    <x v="3"/>
    <x v="0"/>
    <x v="5"/>
    <s v="09"/>
    <n v="0.13966120723814554"/>
    <x v="3"/>
  </r>
  <r>
    <s v="ORD100812"/>
    <s v="2025-06-12"/>
    <s v="Customer 77"/>
    <x v="2"/>
    <x v="3"/>
    <x v="1"/>
    <x v="7"/>
    <x v="17"/>
    <n v="4090.86"/>
    <n v="9"/>
    <x v="1"/>
    <x v="805"/>
    <x v="5"/>
    <x v="1"/>
    <x v="0"/>
    <x v="9"/>
    <s v="06"/>
    <n v="0.11254846169265142"/>
    <x v="1"/>
  </r>
  <r>
    <s v="ORD100813"/>
    <s v="2025-11-18"/>
    <s v="Customer 53"/>
    <x v="2"/>
    <x v="8"/>
    <x v="1"/>
    <x v="5"/>
    <x v="7"/>
    <n v="4836.16"/>
    <n v="7"/>
    <x v="4"/>
    <x v="806"/>
    <x v="9"/>
    <x v="1"/>
    <x v="0"/>
    <x v="10"/>
    <s v="11"/>
    <n v="-3.5600559121286311E-2"/>
    <x v="3"/>
  </r>
  <r>
    <s v="ORD100814"/>
    <s v="2024-10-26"/>
    <s v="Customer 97"/>
    <x v="1"/>
    <x v="1"/>
    <x v="0"/>
    <x v="1"/>
    <x v="19"/>
    <n v="5532.35"/>
    <n v="5"/>
    <x v="5"/>
    <x v="807"/>
    <x v="7"/>
    <x v="1"/>
    <x v="1"/>
    <x v="2"/>
    <s v="10"/>
    <n v="0.11695572405939608"/>
    <x v="3"/>
  </r>
  <r>
    <s v="ORD100815"/>
    <s v="2025-05-30"/>
    <s v="Customer 62"/>
    <x v="3"/>
    <x v="12"/>
    <x v="1"/>
    <x v="5"/>
    <x v="15"/>
    <n v="3966.93"/>
    <n v="9"/>
    <x v="4"/>
    <x v="808"/>
    <x v="5"/>
    <x v="0"/>
    <x v="0"/>
    <x v="7"/>
    <s v="05"/>
    <n v="0.22207853428217791"/>
    <x v="3"/>
  </r>
  <r>
    <s v="ORD100816"/>
    <s v="2025-06-05"/>
    <s v="Customer 64"/>
    <x v="1"/>
    <x v="11"/>
    <x v="1"/>
    <x v="5"/>
    <x v="24"/>
    <n v="2156.62"/>
    <n v="2"/>
    <x v="6"/>
    <x v="809"/>
    <x v="6"/>
    <x v="0"/>
    <x v="0"/>
    <x v="9"/>
    <s v="06"/>
    <n v="5.1321048678023951E-2"/>
    <x v="2"/>
  </r>
  <r>
    <s v="ORD100817"/>
    <s v="2024-03-02"/>
    <s v="Customer 112"/>
    <x v="0"/>
    <x v="4"/>
    <x v="2"/>
    <x v="8"/>
    <x v="18"/>
    <n v="1337.04"/>
    <n v="3"/>
    <x v="3"/>
    <x v="810"/>
    <x v="6"/>
    <x v="3"/>
    <x v="1"/>
    <x v="3"/>
    <s v="03"/>
    <n v="5.0746424938670494E-2"/>
    <x v="2"/>
  </r>
  <r>
    <s v="ORD100818"/>
    <s v="2025-06-21"/>
    <s v="Customer 127"/>
    <x v="1"/>
    <x v="1"/>
    <x v="1"/>
    <x v="7"/>
    <x v="9"/>
    <n v="6318.96"/>
    <n v="8"/>
    <x v="5"/>
    <x v="811"/>
    <x v="0"/>
    <x v="0"/>
    <x v="0"/>
    <x v="9"/>
    <s v="06"/>
    <n v="-5.1492650689353943E-2"/>
    <x v="3"/>
  </r>
  <r>
    <s v="ORD100819"/>
    <s v="2025-07-30"/>
    <s v="Customer 132"/>
    <x v="1"/>
    <x v="5"/>
    <x v="1"/>
    <x v="3"/>
    <x v="4"/>
    <n v="10628.46"/>
    <n v="9"/>
    <x v="3"/>
    <x v="812"/>
    <x v="9"/>
    <x v="2"/>
    <x v="0"/>
    <x v="6"/>
    <s v="07"/>
    <n v="0.30888952868054265"/>
    <x v="2"/>
  </r>
  <r>
    <s v="ORD100820"/>
    <s v="2024-11-18"/>
    <s v="Customer 97"/>
    <x v="1"/>
    <x v="5"/>
    <x v="1"/>
    <x v="7"/>
    <x v="9"/>
    <n v="7855.47"/>
    <n v="9"/>
    <x v="4"/>
    <x v="813"/>
    <x v="4"/>
    <x v="3"/>
    <x v="1"/>
    <x v="10"/>
    <s v="11"/>
    <n v="0.13520642304025091"/>
    <x v="3"/>
  </r>
  <r>
    <s v="ORD100821"/>
    <s v="2025-11-02"/>
    <s v="Customer 128"/>
    <x v="0"/>
    <x v="9"/>
    <x v="2"/>
    <x v="4"/>
    <x v="6"/>
    <n v="209.82"/>
    <n v="2"/>
    <x v="0"/>
    <x v="814"/>
    <x v="5"/>
    <x v="2"/>
    <x v="0"/>
    <x v="10"/>
    <s v="11"/>
    <n v="0.25221618530168716"/>
    <x v="0"/>
  </r>
  <r>
    <s v="ORD100822"/>
    <s v="2024-10-17"/>
    <s v="Customer 147"/>
    <x v="2"/>
    <x v="10"/>
    <x v="1"/>
    <x v="7"/>
    <x v="17"/>
    <n v="515.67999999999995"/>
    <n v="1"/>
    <x v="2"/>
    <x v="815"/>
    <x v="2"/>
    <x v="1"/>
    <x v="1"/>
    <x v="2"/>
    <s v="10"/>
    <n v="-9.1161185231151104E-2"/>
    <x v="1"/>
  </r>
  <r>
    <s v="ORD100823"/>
    <s v="2025-12-26"/>
    <s v="Customer 136"/>
    <x v="2"/>
    <x v="6"/>
    <x v="1"/>
    <x v="3"/>
    <x v="14"/>
    <n v="2795.13"/>
    <n v="3"/>
    <x v="1"/>
    <x v="816"/>
    <x v="3"/>
    <x v="0"/>
    <x v="0"/>
    <x v="4"/>
    <s v="12"/>
    <n v="8.1262767742466352E-2"/>
    <x v="1"/>
  </r>
  <r>
    <s v="ORD100824"/>
    <s v="2024-01-01"/>
    <s v="Customer 193"/>
    <x v="1"/>
    <x v="11"/>
    <x v="0"/>
    <x v="2"/>
    <x v="21"/>
    <n v="277.37"/>
    <n v="1"/>
    <x v="4"/>
    <x v="817"/>
    <x v="8"/>
    <x v="1"/>
    <x v="1"/>
    <x v="0"/>
    <s v="01"/>
    <n v="4.6003533186718099E-2"/>
    <x v="3"/>
  </r>
  <r>
    <s v="ORD100825"/>
    <s v="2025-08-19"/>
    <s v="Customer 168"/>
    <x v="0"/>
    <x v="4"/>
    <x v="2"/>
    <x v="6"/>
    <x v="23"/>
    <n v="8172.2"/>
    <n v="10"/>
    <x v="2"/>
    <x v="818"/>
    <x v="2"/>
    <x v="3"/>
    <x v="0"/>
    <x v="11"/>
    <s v="08"/>
    <n v="-0.11744328332639925"/>
    <x v="1"/>
  </r>
  <r>
    <s v="ORD100826"/>
    <s v="2025-11-26"/>
    <s v="Customer 14"/>
    <x v="1"/>
    <x v="2"/>
    <x v="1"/>
    <x v="5"/>
    <x v="24"/>
    <n v="3933.28"/>
    <n v="4"/>
    <x v="1"/>
    <x v="819"/>
    <x v="5"/>
    <x v="0"/>
    <x v="0"/>
    <x v="10"/>
    <s v="11"/>
    <n v="-2.0865537159825892E-2"/>
    <x v="1"/>
  </r>
  <r>
    <s v="ORD100827"/>
    <s v="2024-05-11"/>
    <s v="Customer 196"/>
    <x v="3"/>
    <x v="14"/>
    <x v="0"/>
    <x v="1"/>
    <x v="3"/>
    <n v="113.68"/>
    <n v="1"/>
    <x v="5"/>
    <x v="820"/>
    <x v="8"/>
    <x v="3"/>
    <x v="1"/>
    <x v="7"/>
    <s v="05"/>
    <n v="-5.6386347642505275E-2"/>
    <x v="3"/>
  </r>
  <r>
    <s v="ORD100828"/>
    <s v="2024-08-04"/>
    <s v="Customer 56"/>
    <x v="0"/>
    <x v="0"/>
    <x v="2"/>
    <x v="6"/>
    <x v="13"/>
    <n v="9765.7000000000007"/>
    <n v="10"/>
    <x v="0"/>
    <x v="821"/>
    <x v="6"/>
    <x v="1"/>
    <x v="1"/>
    <x v="11"/>
    <s v="08"/>
    <n v="7.5396540954565452E-2"/>
    <x v="0"/>
  </r>
  <r>
    <s v="ORD100829"/>
    <s v="2024-05-30"/>
    <s v="Customer 89"/>
    <x v="0"/>
    <x v="4"/>
    <x v="0"/>
    <x v="2"/>
    <x v="2"/>
    <n v="3597.15"/>
    <n v="3"/>
    <x v="0"/>
    <x v="822"/>
    <x v="5"/>
    <x v="0"/>
    <x v="1"/>
    <x v="7"/>
    <s v="05"/>
    <n v="7.0503037126614126E-2"/>
    <x v="0"/>
  </r>
  <r>
    <s v="ORD100830"/>
    <s v="2025-01-17"/>
    <s v="Customer 111"/>
    <x v="3"/>
    <x v="12"/>
    <x v="0"/>
    <x v="1"/>
    <x v="3"/>
    <n v="1885.24"/>
    <n v="4"/>
    <x v="6"/>
    <x v="823"/>
    <x v="6"/>
    <x v="1"/>
    <x v="0"/>
    <x v="0"/>
    <s v="01"/>
    <n v="0.33317773864335576"/>
    <x v="2"/>
  </r>
  <r>
    <s v="ORD100831"/>
    <s v="2024-11-01"/>
    <s v="Customer 113"/>
    <x v="1"/>
    <x v="1"/>
    <x v="2"/>
    <x v="6"/>
    <x v="23"/>
    <n v="4543.4399999999996"/>
    <n v="4"/>
    <x v="6"/>
    <x v="824"/>
    <x v="8"/>
    <x v="3"/>
    <x v="1"/>
    <x v="10"/>
    <s v="11"/>
    <n v="0.3497834240135228"/>
    <x v="2"/>
  </r>
  <r>
    <s v="ORD100832"/>
    <s v="2025-03-14"/>
    <s v="Customer 93"/>
    <x v="2"/>
    <x v="8"/>
    <x v="0"/>
    <x v="2"/>
    <x v="2"/>
    <n v="9047.84"/>
    <n v="8"/>
    <x v="3"/>
    <x v="825"/>
    <x v="9"/>
    <x v="0"/>
    <x v="0"/>
    <x v="3"/>
    <s v="03"/>
    <n v="9.1040513536932571E-2"/>
    <x v="2"/>
  </r>
  <r>
    <s v="ORD100833"/>
    <s v="2024-04-08"/>
    <s v="Customer 140"/>
    <x v="2"/>
    <x v="6"/>
    <x v="0"/>
    <x v="0"/>
    <x v="25"/>
    <n v="9136.7000000000007"/>
    <n v="10"/>
    <x v="2"/>
    <x v="826"/>
    <x v="5"/>
    <x v="3"/>
    <x v="1"/>
    <x v="8"/>
    <s v="04"/>
    <n v="0.14184661858220143"/>
    <x v="1"/>
  </r>
  <r>
    <s v="ORD100834"/>
    <s v="2024-12-01"/>
    <s v="Customer 134"/>
    <x v="3"/>
    <x v="12"/>
    <x v="1"/>
    <x v="5"/>
    <x v="24"/>
    <n v="751.04"/>
    <n v="2"/>
    <x v="3"/>
    <x v="827"/>
    <x v="5"/>
    <x v="0"/>
    <x v="1"/>
    <x v="4"/>
    <s v="12"/>
    <n v="0.10108649339582447"/>
    <x v="2"/>
  </r>
  <r>
    <s v="ORD100835"/>
    <s v="2025-07-08"/>
    <s v="Customer 27"/>
    <x v="1"/>
    <x v="1"/>
    <x v="0"/>
    <x v="0"/>
    <x v="0"/>
    <n v="9198.1"/>
    <n v="10"/>
    <x v="1"/>
    <x v="828"/>
    <x v="5"/>
    <x v="2"/>
    <x v="0"/>
    <x v="6"/>
    <s v="07"/>
    <n v="-0.17491764603559432"/>
    <x v="1"/>
  </r>
  <r>
    <s v="ORD100836"/>
    <s v="2024-03-17"/>
    <s v="Customer 60"/>
    <x v="3"/>
    <x v="15"/>
    <x v="1"/>
    <x v="3"/>
    <x v="5"/>
    <n v="687.59"/>
    <n v="1"/>
    <x v="5"/>
    <x v="829"/>
    <x v="7"/>
    <x v="1"/>
    <x v="1"/>
    <x v="3"/>
    <s v="03"/>
    <n v="9.0475428671155766E-2"/>
    <x v="3"/>
  </r>
  <r>
    <s v="ORD100837"/>
    <s v="2024-06-15"/>
    <s v="Customer 116"/>
    <x v="0"/>
    <x v="4"/>
    <x v="0"/>
    <x v="0"/>
    <x v="0"/>
    <n v="10420.6"/>
    <n v="10"/>
    <x v="0"/>
    <x v="830"/>
    <x v="0"/>
    <x v="2"/>
    <x v="1"/>
    <x v="9"/>
    <s v="06"/>
    <n v="0.36504615857052375"/>
    <x v="0"/>
  </r>
  <r>
    <s v="ORD100838"/>
    <s v="2024-09-11"/>
    <s v="Customer 68"/>
    <x v="3"/>
    <x v="15"/>
    <x v="1"/>
    <x v="7"/>
    <x v="17"/>
    <n v="4477.92"/>
    <n v="4"/>
    <x v="2"/>
    <x v="831"/>
    <x v="2"/>
    <x v="3"/>
    <x v="1"/>
    <x v="5"/>
    <s v="09"/>
    <n v="-3.5130149712366457E-2"/>
    <x v="1"/>
  </r>
  <r>
    <s v="ORD100839"/>
    <s v="2025-01-05"/>
    <s v="Customer 191"/>
    <x v="3"/>
    <x v="12"/>
    <x v="2"/>
    <x v="6"/>
    <x v="13"/>
    <n v="1707.72"/>
    <n v="7"/>
    <x v="2"/>
    <x v="832"/>
    <x v="1"/>
    <x v="2"/>
    <x v="0"/>
    <x v="0"/>
    <s v="01"/>
    <n v="-5.7743658210947929E-2"/>
    <x v="1"/>
  </r>
  <r>
    <s v="ORD100840"/>
    <s v="2024-06-17"/>
    <s v="Customer 136"/>
    <x v="0"/>
    <x v="4"/>
    <x v="0"/>
    <x v="2"/>
    <x v="2"/>
    <n v="654.24"/>
    <n v="8"/>
    <x v="4"/>
    <x v="833"/>
    <x v="7"/>
    <x v="1"/>
    <x v="1"/>
    <x v="9"/>
    <s v="06"/>
    <n v="0.10988322328197603"/>
    <x v="3"/>
  </r>
  <r>
    <s v="ORD100841"/>
    <s v="2025-11-27"/>
    <s v="Customer 180"/>
    <x v="3"/>
    <x v="12"/>
    <x v="1"/>
    <x v="3"/>
    <x v="4"/>
    <n v="1773.24"/>
    <n v="7"/>
    <x v="4"/>
    <x v="834"/>
    <x v="3"/>
    <x v="0"/>
    <x v="0"/>
    <x v="10"/>
    <s v="11"/>
    <n v="0.18218064108637297"/>
    <x v="3"/>
  </r>
  <r>
    <s v="ORD100842"/>
    <s v="2024-03-18"/>
    <s v="Customer 143"/>
    <x v="1"/>
    <x v="1"/>
    <x v="2"/>
    <x v="6"/>
    <x v="23"/>
    <n v="3331.71"/>
    <n v="9"/>
    <x v="1"/>
    <x v="835"/>
    <x v="1"/>
    <x v="3"/>
    <x v="1"/>
    <x v="3"/>
    <s v="03"/>
    <n v="6.6152216129254943E-3"/>
    <x v="1"/>
  </r>
  <r>
    <s v="ORD100843"/>
    <s v="2024-04-07"/>
    <s v="Customer 89"/>
    <x v="0"/>
    <x v="0"/>
    <x v="2"/>
    <x v="8"/>
    <x v="12"/>
    <n v="7307"/>
    <n v="10"/>
    <x v="6"/>
    <x v="836"/>
    <x v="2"/>
    <x v="0"/>
    <x v="1"/>
    <x v="8"/>
    <s v="04"/>
    <n v="0.26018749144655812"/>
    <x v="2"/>
  </r>
  <r>
    <s v="ORD100844"/>
    <s v="2024-07-06"/>
    <s v="Customer 2"/>
    <x v="3"/>
    <x v="15"/>
    <x v="1"/>
    <x v="7"/>
    <x v="16"/>
    <n v="7940.61"/>
    <n v="9"/>
    <x v="5"/>
    <x v="837"/>
    <x v="8"/>
    <x v="3"/>
    <x v="1"/>
    <x v="6"/>
    <s v="07"/>
    <n v="-1.619522933376655E-3"/>
    <x v="3"/>
  </r>
  <r>
    <s v="ORD100845"/>
    <s v="2025-07-30"/>
    <s v="Customer 99"/>
    <x v="0"/>
    <x v="4"/>
    <x v="1"/>
    <x v="3"/>
    <x v="14"/>
    <n v="3759.35"/>
    <n v="7"/>
    <x v="6"/>
    <x v="838"/>
    <x v="8"/>
    <x v="1"/>
    <x v="0"/>
    <x v="6"/>
    <s v="07"/>
    <n v="0.2645803130860388"/>
    <x v="2"/>
  </r>
  <r>
    <s v="ORD100846"/>
    <s v="2024-09-23"/>
    <s v="Customer 125"/>
    <x v="2"/>
    <x v="10"/>
    <x v="2"/>
    <x v="6"/>
    <x v="8"/>
    <n v="944.52"/>
    <n v="2"/>
    <x v="6"/>
    <x v="839"/>
    <x v="9"/>
    <x v="0"/>
    <x v="1"/>
    <x v="5"/>
    <s v="09"/>
    <n v="0.21104899843306654"/>
    <x v="2"/>
  </r>
  <r>
    <s v="ORD100847"/>
    <s v="2024-05-09"/>
    <s v="Customer 119"/>
    <x v="0"/>
    <x v="4"/>
    <x v="0"/>
    <x v="1"/>
    <x v="19"/>
    <n v="1241.8399999999999"/>
    <n v="8"/>
    <x v="0"/>
    <x v="840"/>
    <x v="5"/>
    <x v="2"/>
    <x v="1"/>
    <x v="7"/>
    <s v="05"/>
    <n v="0.28471461701990597"/>
    <x v="0"/>
  </r>
  <r>
    <s v="ORD100848"/>
    <s v="2024-08-05"/>
    <s v="Customer 90"/>
    <x v="1"/>
    <x v="5"/>
    <x v="0"/>
    <x v="1"/>
    <x v="3"/>
    <n v="1029.92"/>
    <n v="4"/>
    <x v="1"/>
    <x v="841"/>
    <x v="1"/>
    <x v="0"/>
    <x v="1"/>
    <x v="11"/>
    <s v="08"/>
    <n v="7.6200093211123199E-2"/>
    <x v="1"/>
  </r>
  <r>
    <s v="ORD100849"/>
    <s v="2024-01-30"/>
    <s v="Customer 50"/>
    <x v="0"/>
    <x v="4"/>
    <x v="0"/>
    <x v="2"/>
    <x v="21"/>
    <n v="8183.9"/>
    <n v="10"/>
    <x v="4"/>
    <x v="842"/>
    <x v="3"/>
    <x v="3"/>
    <x v="1"/>
    <x v="0"/>
    <s v="01"/>
    <n v="9.9455027554100128E-2"/>
    <x v="3"/>
  </r>
  <r>
    <s v="ORD100850"/>
    <s v="2024-01-22"/>
    <s v="Customer 41"/>
    <x v="3"/>
    <x v="15"/>
    <x v="1"/>
    <x v="3"/>
    <x v="5"/>
    <n v="197.6"/>
    <n v="5"/>
    <x v="5"/>
    <x v="843"/>
    <x v="5"/>
    <x v="3"/>
    <x v="1"/>
    <x v="0"/>
    <s v="01"/>
    <n v="6.7560728744939277E-2"/>
    <x v="3"/>
  </r>
  <r>
    <s v="ORD100851"/>
    <s v="2025-01-20"/>
    <s v="Customer 193"/>
    <x v="3"/>
    <x v="13"/>
    <x v="1"/>
    <x v="3"/>
    <x v="4"/>
    <n v="7506.2"/>
    <n v="10"/>
    <x v="6"/>
    <x v="844"/>
    <x v="9"/>
    <x v="2"/>
    <x v="0"/>
    <x v="0"/>
    <s v="01"/>
    <n v="0.36305587381098292"/>
    <x v="2"/>
  </r>
  <r>
    <s v="ORD100852"/>
    <s v="2024-05-24"/>
    <s v="Customer 43"/>
    <x v="3"/>
    <x v="12"/>
    <x v="2"/>
    <x v="6"/>
    <x v="13"/>
    <n v="3743.2"/>
    <n v="8"/>
    <x v="0"/>
    <x v="845"/>
    <x v="1"/>
    <x v="3"/>
    <x v="1"/>
    <x v="7"/>
    <s v="05"/>
    <n v="8.2619149390895485E-2"/>
    <x v="0"/>
  </r>
  <r>
    <s v="ORD100853"/>
    <s v="2025-02-18"/>
    <s v="Customer 154"/>
    <x v="1"/>
    <x v="11"/>
    <x v="2"/>
    <x v="4"/>
    <x v="10"/>
    <n v="98.85"/>
    <n v="1"/>
    <x v="3"/>
    <x v="846"/>
    <x v="8"/>
    <x v="0"/>
    <x v="0"/>
    <x v="1"/>
    <s v="02"/>
    <n v="5.6449165402124434E-2"/>
    <x v="2"/>
  </r>
  <r>
    <s v="ORD100854"/>
    <s v="2025-02-21"/>
    <s v="Customer 178"/>
    <x v="1"/>
    <x v="5"/>
    <x v="1"/>
    <x v="7"/>
    <x v="17"/>
    <n v="957.84"/>
    <n v="4"/>
    <x v="0"/>
    <x v="847"/>
    <x v="1"/>
    <x v="1"/>
    <x v="0"/>
    <x v="1"/>
    <s v="02"/>
    <n v="0.42853712519836301"/>
    <x v="0"/>
  </r>
  <r>
    <s v="ORD100855"/>
    <s v="2024-04-07"/>
    <s v="Customer 82"/>
    <x v="1"/>
    <x v="2"/>
    <x v="2"/>
    <x v="8"/>
    <x v="12"/>
    <n v="2248.88"/>
    <n v="4"/>
    <x v="2"/>
    <x v="848"/>
    <x v="2"/>
    <x v="1"/>
    <x v="1"/>
    <x v="8"/>
    <s v="04"/>
    <n v="0.12244317171214116"/>
    <x v="1"/>
  </r>
  <r>
    <s v="ORD100856"/>
    <s v="2024-11-09"/>
    <s v="Customer 83"/>
    <x v="3"/>
    <x v="13"/>
    <x v="1"/>
    <x v="7"/>
    <x v="17"/>
    <n v="5842.53"/>
    <n v="9"/>
    <x v="4"/>
    <x v="849"/>
    <x v="0"/>
    <x v="1"/>
    <x v="1"/>
    <x v="10"/>
    <s v="11"/>
    <n v="0.21628986072814349"/>
    <x v="3"/>
  </r>
  <r>
    <s v="ORD100857"/>
    <s v="2025-02-21"/>
    <s v="Customer 164"/>
    <x v="3"/>
    <x v="14"/>
    <x v="1"/>
    <x v="7"/>
    <x v="17"/>
    <n v="1157.72"/>
    <n v="2"/>
    <x v="3"/>
    <x v="850"/>
    <x v="4"/>
    <x v="0"/>
    <x v="0"/>
    <x v="1"/>
    <s v="02"/>
    <n v="8.4908267974985307E-3"/>
    <x v="2"/>
  </r>
  <r>
    <s v="ORD100858"/>
    <s v="2025-02-14"/>
    <s v="Customer 123"/>
    <x v="3"/>
    <x v="14"/>
    <x v="1"/>
    <x v="5"/>
    <x v="7"/>
    <n v="1275.8800000000001"/>
    <n v="4"/>
    <x v="1"/>
    <x v="851"/>
    <x v="6"/>
    <x v="2"/>
    <x v="0"/>
    <x v="1"/>
    <s v="02"/>
    <n v="3.4407624541492924E-3"/>
    <x v="1"/>
  </r>
  <r>
    <s v="ORD100859"/>
    <s v="2025-05-01"/>
    <s v="Customer 151"/>
    <x v="2"/>
    <x v="8"/>
    <x v="0"/>
    <x v="2"/>
    <x v="2"/>
    <n v="647.45000000000005"/>
    <n v="5"/>
    <x v="3"/>
    <x v="852"/>
    <x v="5"/>
    <x v="0"/>
    <x v="0"/>
    <x v="7"/>
    <s v="05"/>
    <n v="0.16683913815738666"/>
    <x v="2"/>
  </r>
  <r>
    <s v="ORD100860"/>
    <s v="2025-06-08"/>
    <s v="Customer 167"/>
    <x v="0"/>
    <x v="9"/>
    <x v="1"/>
    <x v="5"/>
    <x v="15"/>
    <n v="2813.64"/>
    <n v="3"/>
    <x v="5"/>
    <x v="853"/>
    <x v="8"/>
    <x v="0"/>
    <x v="0"/>
    <x v="9"/>
    <s v="06"/>
    <n v="0.2684458566127863"/>
    <x v="3"/>
  </r>
  <r>
    <s v="ORD100861"/>
    <s v="2025-03-09"/>
    <s v="Customer 25"/>
    <x v="2"/>
    <x v="10"/>
    <x v="0"/>
    <x v="1"/>
    <x v="19"/>
    <n v="4077.64"/>
    <n v="4"/>
    <x v="2"/>
    <x v="854"/>
    <x v="4"/>
    <x v="2"/>
    <x v="0"/>
    <x v="3"/>
    <s v="03"/>
    <n v="7.3768160014125825E-2"/>
    <x v="1"/>
  </r>
  <r>
    <s v="ORD100862"/>
    <s v="2025-06-21"/>
    <s v="Customer 104"/>
    <x v="1"/>
    <x v="11"/>
    <x v="1"/>
    <x v="7"/>
    <x v="17"/>
    <n v="257.16000000000003"/>
    <n v="2"/>
    <x v="1"/>
    <x v="855"/>
    <x v="3"/>
    <x v="2"/>
    <x v="0"/>
    <x v="9"/>
    <s v="06"/>
    <n v="0.13369108726084927"/>
    <x v="1"/>
  </r>
  <r>
    <s v="ORD100863"/>
    <s v="2024-04-02"/>
    <s v="Customer 74"/>
    <x v="0"/>
    <x v="0"/>
    <x v="0"/>
    <x v="2"/>
    <x v="11"/>
    <n v="2612.6799999999998"/>
    <n v="7"/>
    <x v="6"/>
    <x v="856"/>
    <x v="5"/>
    <x v="2"/>
    <x v="1"/>
    <x v="8"/>
    <s v="04"/>
    <n v="0.24673132568856501"/>
    <x v="2"/>
  </r>
  <r>
    <s v="ORD100864"/>
    <s v="2025-10-29"/>
    <s v="Customer 123"/>
    <x v="2"/>
    <x v="8"/>
    <x v="1"/>
    <x v="3"/>
    <x v="5"/>
    <n v="7800.03"/>
    <n v="9"/>
    <x v="4"/>
    <x v="857"/>
    <x v="6"/>
    <x v="1"/>
    <x v="0"/>
    <x v="2"/>
    <s v="10"/>
    <n v="9.9997051293392467E-2"/>
    <x v="3"/>
  </r>
  <r>
    <s v="ORD100865"/>
    <s v="2025-03-15"/>
    <s v="Customer 61"/>
    <x v="3"/>
    <x v="12"/>
    <x v="2"/>
    <x v="4"/>
    <x v="6"/>
    <n v="4922.75"/>
    <n v="7"/>
    <x v="6"/>
    <x v="858"/>
    <x v="1"/>
    <x v="3"/>
    <x v="0"/>
    <x v="3"/>
    <s v="03"/>
    <n v="0.16165557869077243"/>
    <x v="2"/>
  </r>
  <r>
    <s v="ORD100866"/>
    <s v="2024-12-31"/>
    <s v="Customer 24"/>
    <x v="3"/>
    <x v="13"/>
    <x v="0"/>
    <x v="0"/>
    <x v="22"/>
    <n v="4187.3599999999997"/>
    <n v="8"/>
    <x v="4"/>
    <x v="859"/>
    <x v="1"/>
    <x v="0"/>
    <x v="1"/>
    <x v="4"/>
    <s v="12"/>
    <n v="-3.6421516182033549E-2"/>
    <x v="3"/>
  </r>
  <r>
    <s v="ORD100867"/>
    <s v="2024-06-19"/>
    <s v="Customer 120"/>
    <x v="3"/>
    <x v="13"/>
    <x v="1"/>
    <x v="7"/>
    <x v="17"/>
    <n v="11826.8"/>
    <n v="10"/>
    <x v="2"/>
    <x v="860"/>
    <x v="8"/>
    <x v="2"/>
    <x v="1"/>
    <x v="9"/>
    <s v="06"/>
    <n v="-0.18030574627118073"/>
    <x v="1"/>
  </r>
  <r>
    <s v="ORD100868"/>
    <s v="2025-06-08"/>
    <s v="Customer 157"/>
    <x v="2"/>
    <x v="10"/>
    <x v="1"/>
    <x v="7"/>
    <x v="16"/>
    <n v="4250.24"/>
    <n v="4"/>
    <x v="2"/>
    <x v="861"/>
    <x v="0"/>
    <x v="2"/>
    <x v="0"/>
    <x v="9"/>
    <s v="06"/>
    <n v="-0.20963757340761935"/>
    <x v="1"/>
  </r>
  <r>
    <s v="ORD100869"/>
    <s v="2025-09-01"/>
    <s v="Customer 48"/>
    <x v="0"/>
    <x v="9"/>
    <x v="2"/>
    <x v="6"/>
    <x v="8"/>
    <n v="5868.35"/>
    <n v="5"/>
    <x v="4"/>
    <x v="862"/>
    <x v="1"/>
    <x v="0"/>
    <x v="0"/>
    <x v="5"/>
    <s v="09"/>
    <n v="-0.11854098681912291"/>
    <x v="3"/>
  </r>
  <r>
    <s v="ORD100870"/>
    <s v="2025-12-06"/>
    <s v="Customer 187"/>
    <x v="2"/>
    <x v="10"/>
    <x v="1"/>
    <x v="3"/>
    <x v="5"/>
    <n v="4112.46"/>
    <n v="6"/>
    <x v="0"/>
    <x v="863"/>
    <x v="3"/>
    <x v="0"/>
    <x v="0"/>
    <x v="4"/>
    <s v="12"/>
    <n v="0.23529955306556172"/>
    <x v="0"/>
  </r>
  <r>
    <s v="ORD100871"/>
    <s v="2025-05-23"/>
    <s v="Customer 97"/>
    <x v="3"/>
    <x v="12"/>
    <x v="1"/>
    <x v="5"/>
    <x v="15"/>
    <n v="4872.42"/>
    <n v="7"/>
    <x v="2"/>
    <x v="864"/>
    <x v="7"/>
    <x v="0"/>
    <x v="0"/>
    <x v="7"/>
    <s v="05"/>
    <n v="2.3456516474359763E-2"/>
    <x v="1"/>
  </r>
  <r>
    <s v="ORD100872"/>
    <s v="2025-10-13"/>
    <s v="Customer 163"/>
    <x v="0"/>
    <x v="4"/>
    <x v="0"/>
    <x v="2"/>
    <x v="2"/>
    <n v="464.24"/>
    <n v="7"/>
    <x v="6"/>
    <x v="865"/>
    <x v="1"/>
    <x v="0"/>
    <x v="0"/>
    <x v="2"/>
    <s v="10"/>
    <n v="5.4713079441668096E-2"/>
    <x v="2"/>
  </r>
  <r>
    <s v="ORD100873"/>
    <s v="2025-01-14"/>
    <s v="Customer 94"/>
    <x v="3"/>
    <x v="15"/>
    <x v="2"/>
    <x v="8"/>
    <x v="20"/>
    <n v="840.92"/>
    <n v="1"/>
    <x v="1"/>
    <x v="866"/>
    <x v="9"/>
    <x v="1"/>
    <x v="0"/>
    <x v="0"/>
    <s v="01"/>
    <n v="0.14914617323883367"/>
    <x v="1"/>
  </r>
  <r>
    <s v="ORD100874"/>
    <s v="2024-12-27"/>
    <s v="Customer 35"/>
    <x v="0"/>
    <x v="9"/>
    <x v="1"/>
    <x v="3"/>
    <x v="4"/>
    <n v="5299.5"/>
    <n v="5"/>
    <x v="6"/>
    <x v="867"/>
    <x v="4"/>
    <x v="0"/>
    <x v="1"/>
    <x v="4"/>
    <s v="12"/>
    <n v="1.28936692140768E-2"/>
    <x v="2"/>
  </r>
  <r>
    <s v="ORD100875"/>
    <s v="2025-03-21"/>
    <s v="Customer 100"/>
    <x v="3"/>
    <x v="14"/>
    <x v="1"/>
    <x v="5"/>
    <x v="24"/>
    <n v="672.42"/>
    <n v="7"/>
    <x v="0"/>
    <x v="868"/>
    <x v="1"/>
    <x v="0"/>
    <x v="0"/>
    <x v="3"/>
    <s v="03"/>
    <n v="0.16932869337616371"/>
    <x v="0"/>
  </r>
  <r>
    <s v="ORD100876"/>
    <s v="2025-10-15"/>
    <s v="Customer 66"/>
    <x v="3"/>
    <x v="14"/>
    <x v="2"/>
    <x v="8"/>
    <x v="12"/>
    <n v="2904.18"/>
    <n v="6"/>
    <x v="1"/>
    <x v="869"/>
    <x v="4"/>
    <x v="2"/>
    <x v="0"/>
    <x v="2"/>
    <s v="10"/>
    <n v="-9.1430283246906177E-2"/>
    <x v="1"/>
  </r>
  <r>
    <s v="ORD100877"/>
    <s v="2025-11-29"/>
    <s v="Customer 129"/>
    <x v="1"/>
    <x v="1"/>
    <x v="1"/>
    <x v="7"/>
    <x v="16"/>
    <n v="2887.41"/>
    <n v="3"/>
    <x v="4"/>
    <x v="870"/>
    <x v="9"/>
    <x v="1"/>
    <x v="0"/>
    <x v="10"/>
    <s v="11"/>
    <n v="0.11308750748941092"/>
    <x v="3"/>
  </r>
  <r>
    <s v="ORD100878"/>
    <s v="2025-09-16"/>
    <s v="Customer 104"/>
    <x v="1"/>
    <x v="1"/>
    <x v="0"/>
    <x v="1"/>
    <x v="1"/>
    <n v="561.34"/>
    <n v="2"/>
    <x v="2"/>
    <x v="871"/>
    <x v="3"/>
    <x v="0"/>
    <x v="0"/>
    <x v="5"/>
    <s v="09"/>
    <n v="-0.20053799836106456"/>
    <x v="1"/>
  </r>
  <r>
    <s v="ORD100879"/>
    <s v="2025-04-05"/>
    <s v="Customer 118"/>
    <x v="1"/>
    <x v="11"/>
    <x v="0"/>
    <x v="0"/>
    <x v="0"/>
    <n v="277.62"/>
    <n v="3"/>
    <x v="3"/>
    <x v="872"/>
    <x v="4"/>
    <x v="1"/>
    <x v="0"/>
    <x v="8"/>
    <s v="04"/>
    <n v="0.12304589006555722"/>
    <x v="2"/>
  </r>
  <r>
    <s v="ORD100880"/>
    <s v="2025-08-28"/>
    <s v="Customer 197"/>
    <x v="2"/>
    <x v="6"/>
    <x v="1"/>
    <x v="3"/>
    <x v="14"/>
    <n v="1220.8800000000001"/>
    <n v="8"/>
    <x v="5"/>
    <x v="873"/>
    <x v="8"/>
    <x v="1"/>
    <x v="0"/>
    <x v="11"/>
    <s v="08"/>
    <n v="-1.0877399908262891E-2"/>
    <x v="3"/>
  </r>
  <r>
    <s v="ORD100881"/>
    <s v="2024-05-19"/>
    <s v="Customer 178"/>
    <x v="0"/>
    <x v="4"/>
    <x v="2"/>
    <x v="4"/>
    <x v="10"/>
    <n v="2188.98"/>
    <n v="3"/>
    <x v="2"/>
    <x v="874"/>
    <x v="6"/>
    <x v="3"/>
    <x v="1"/>
    <x v="7"/>
    <s v="05"/>
    <n v="-0.24830743085820792"/>
    <x v="1"/>
  </r>
  <r>
    <s v="ORD100882"/>
    <s v="2025-11-07"/>
    <s v="Customer 101"/>
    <x v="2"/>
    <x v="8"/>
    <x v="2"/>
    <x v="4"/>
    <x v="26"/>
    <n v="7802.96"/>
    <n v="8"/>
    <x v="0"/>
    <x v="875"/>
    <x v="2"/>
    <x v="1"/>
    <x v="0"/>
    <x v="10"/>
    <s v="11"/>
    <n v="0.37582276469442366"/>
    <x v="0"/>
  </r>
  <r>
    <s v="ORD100883"/>
    <s v="2025-10-10"/>
    <s v="Customer 133"/>
    <x v="1"/>
    <x v="1"/>
    <x v="0"/>
    <x v="0"/>
    <x v="25"/>
    <n v="5300.05"/>
    <n v="7"/>
    <x v="1"/>
    <x v="876"/>
    <x v="4"/>
    <x v="2"/>
    <x v="0"/>
    <x v="2"/>
    <s v="10"/>
    <n v="6.7114461184328442E-2"/>
    <x v="1"/>
  </r>
  <r>
    <s v="ORD100884"/>
    <s v="2024-05-15"/>
    <s v="Customer 140"/>
    <x v="1"/>
    <x v="5"/>
    <x v="0"/>
    <x v="1"/>
    <x v="1"/>
    <n v="205.65"/>
    <n v="3"/>
    <x v="3"/>
    <x v="877"/>
    <x v="3"/>
    <x v="2"/>
    <x v="1"/>
    <x v="7"/>
    <s v="05"/>
    <n v="-3.7296377340141018E-2"/>
    <x v="2"/>
  </r>
  <r>
    <s v="ORD100885"/>
    <s v="2024-07-28"/>
    <s v="Customer 26"/>
    <x v="0"/>
    <x v="0"/>
    <x v="0"/>
    <x v="2"/>
    <x v="21"/>
    <n v="5595.39"/>
    <n v="9"/>
    <x v="2"/>
    <x v="878"/>
    <x v="7"/>
    <x v="0"/>
    <x v="1"/>
    <x v="6"/>
    <s v="07"/>
    <n v="-0.13509514082128321"/>
    <x v="1"/>
  </r>
  <r>
    <s v="ORD100886"/>
    <s v="2024-08-19"/>
    <s v="Customer 153"/>
    <x v="3"/>
    <x v="14"/>
    <x v="1"/>
    <x v="3"/>
    <x v="14"/>
    <n v="1745.04"/>
    <n v="3"/>
    <x v="1"/>
    <x v="879"/>
    <x v="4"/>
    <x v="3"/>
    <x v="1"/>
    <x v="11"/>
    <s v="08"/>
    <n v="9.8163938935497182E-3"/>
    <x v="1"/>
  </r>
  <r>
    <s v="ORD100887"/>
    <s v="2024-06-02"/>
    <s v="Customer 10"/>
    <x v="2"/>
    <x v="8"/>
    <x v="1"/>
    <x v="3"/>
    <x v="5"/>
    <n v="1794.85"/>
    <n v="5"/>
    <x v="3"/>
    <x v="880"/>
    <x v="7"/>
    <x v="1"/>
    <x v="1"/>
    <x v="9"/>
    <s v="06"/>
    <n v="0.27372760954954456"/>
    <x v="2"/>
  </r>
  <r>
    <s v="ORD100888"/>
    <s v="2025-07-13"/>
    <s v="Customer 61"/>
    <x v="3"/>
    <x v="13"/>
    <x v="2"/>
    <x v="8"/>
    <x v="20"/>
    <n v="2128.94"/>
    <n v="2"/>
    <x v="3"/>
    <x v="881"/>
    <x v="8"/>
    <x v="1"/>
    <x v="0"/>
    <x v="6"/>
    <s v="07"/>
    <n v="0.28041184814978348"/>
    <x v="2"/>
  </r>
  <r>
    <s v="ORD100889"/>
    <s v="2024-09-03"/>
    <s v="Customer 17"/>
    <x v="1"/>
    <x v="11"/>
    <x v="1"/>
    <x v="3"/>
    <x v="5"/>
    <n v="3720"/>
    <n v="4"/>
    <x v="1"/>
    <x v="882"/>
    <x v="8"/>
    <x v="2"/>
    <x v="1"/>
    <x v="5"/>
    <s v="09"/>
    <n v="-0.18258870967741936"/>
    <x v="1"/>
  </r>
  <r>
    <s v="ORD100890"/>
    <s v="2024-11-25"/>
    <s v="Customer 76"/>
    <x v="0"/>
    <x v="0"/>
    <x v="1"/>
    <x v="7"/>
    <x v="16"/>
    <n v="344.3"/>
    <n v="1"/>
    <x v="6"/>
    <x v="883"/>
    <x v="4"/>
    <x v="0"/>
    <x v="1"/>
    <x v="10"/>
    <s v="11"/>
    <n v="9.3813534708103385E-2"/>
    <x v="2"/>
  </r>
  <r>
    <s v="ORD100891"/>
    <s v="2025-04-16"/>
    <s v="Customer 186"/>
    <x v="1"/>
    <x v="2"/>
    <x v="2"/>
    <x v="6"/>
    <x v="23"/>
    <n v="399.65"/>
    <n v="1"/>
    <x v="2"/>
    <x v="884"/>
    <x v="1"/>
    <x v="0"/>
    <x v="0"/>
    <x v="8"/>
    <s v="04"/>
    <n v="-0.12946328037032404"/>
    <x v="1"/>
  </r>
  <r>
    <s v="ORD100892"/>
    <s v="2024-04-08"/>
    <s v="Customer 65"/>
    <x v="2"/>
    <x v="10"/>
    <x v="0"/>
    <x v="1"/>
    <x v="1"/>
    <n v="4089.6"/>
    <n v="5"/>
    <x v="6"/>
    <x v="885"/>
    <x v="0"/>
    <x v="3"/>
    <x v="1"/>
    <x v="8"/>
    <s v="04"/>
    <n v="0.22543525039123632"/>
    <x v="2"/>
  </r>
  <r>
    <s v="ORD100893"/>
    <s v="2024-06-17"/>
    <s v="Customer 24"/>
    <x v="3"/>
    <x v="13"/>
    <x v="0"/>
    <x v="2"/>
    <x v="21"/>
    <n v="1123.58"/>
    <n v="2"/>
    <x v="6"/>
    <x v="886"/>
    <x v="7"/>
    <x v="0"/>
    <x v="1"/>
    <x v="9"/>
    <s v="06"/>
    <n v="0.16026451165026079"/>
    <x v="2"/>
  </r>
  <r>
    <s v="ORD100894"/>
    <s v="2024-01-14"/>
    <s v="Customer 50"/>
    <x v="2"/>
    <x v="3"/>
    <x v="0"/>
    <x v="0"/>
    <x v="25"/>
    <n v="841.24"/>
    <n v="1"/>
    <x v="1"/>
    <x v="887"/>
    <x v="9"/>
    <x v="1"/>
    <x v="1"/>
    <x v="0"/>
    <s v="01"/>
    <n v="0.12774000285293138"/>
    <x v="1"/>
  </r>
  <r>
    <s v="ORD100895"/>
    <s v="2024-07-15"/>
    <s v="Customer 23"/>
    <x v="2"/>
    <x v="3"/>
    <x v="0"/>
    <x v="2"/>
    <x v="2"/>
    <n v="8588.52"/>
    <n v="9"/>
    <x v="0"/>
    <x v="888"/>
    <x v="5"/>
    <x v="2"/>
    <x v="1"/>
    <x v="6"/>
    <s v="07"/>
    <n v="0.12060750862779616"/>
    <x v="0"/>
  </r>
  <r>
    <s v="ORD100896"/>
    <s v="2025-08-21"/>
    <s v="Customer 75"/>
    <x v="0"/>
    <x v="9"/>
    <x v="0"/>
    <x v="2"/>
    <x v="11"/>
    <n v="1822.56"/>
    <n v="6"/>
    <x v="2"/>
    <x v="889"/>
    <x v="1"/>
    <x v="0"/>
    <x v="0"/>
    <x v="11"/>
    <s v="08"/>
    <n v="-0.10502260556579757"/>
    <x v="1"/>
  </r>
  <r>
    <s v="ORD100897"/>
    <s v="2024-07-18"/>
    <s v="Customer 14"/>
    <x v="0"/>
    <x v="4"/>
    <x v="0"/>
    <x v="2"/>
    <x v="11"/>
    <n v="3777.34"/>
    <n v="7"/>
    <x v="5"/>
    <x v="890"/>
    <x v="4"/>
    <x v="0"/>
    <x v="1"/>
    <x v="6"/>
    <s v="07"/>
    <n v="1.1881376841904621E-2"/>
    <x v="3"/>
  </r>
  <r>
    <s v="ORD100898"/>
    <s v="2025-03-05"/>
    <s v="Customer 174"/>
    <x v="3"/>
    <x v="14"/>
    <x v="2"/>
    <x v="6"/>
    <x v="8"/>
    <n v="6902.46"/>
    <n v="9"/>
    <x v="3"/>
    <x v="891"/>
    <x v="2"/>
    <x v="0"/>
    <x v="0"/>
    <x v="3"/>
    <s v="03"/>
    <n v="0.18834879159024462"/>
    <x v="2"/>
  </r>
  <r>
    <s v="ORD100899"/>
    <s v="2024-03-10"/>
    <s v="Customer 83"/>
    <x v="3"/>
    <x v="14"/>
    <x v="0"/>
    <x v="2"/>
    <x v="21"/>
    <n v="10217.5"/>
    <n v="10"/>
    <x v="2"/>
    <x v="892"/>
    <x v="3"/>
    <x v="3"/>
    <x v="1"/>
    <x v="3"/>
    <s v="03"/>
    <n v="-7.4303890384144851E-3"/>
    <x v="1"/>
  </r>
  <r>
    <s v="ORD100900"/>
    <s v="2025-05-09"/>
    <s v="Customer 59"/>
    <x v="3"/>
    <x v="13"/>
    <x v="1"/>
    <x v="5"/>
    <x v="24"/>
    <n v="1391.95"/>
    <n v="7"/>
    <x v="5"/>
    <x v="893"/>
    <x v="9"/>
    <x v="2"/>
    <x v="0"/>
    <x v="7"/>
    <s v="05"/>
    <n v="-3.8801681094866911E-2"/>
    <x v="3"/>
  </r>
  <r>
    <s v="ORD100901"/>
    <s v="2024-08-18"/>
    <s v="Customer 73"/>
    <x v="0"/>
    <x v="4"/>
    <x v="1"/>
    <x v="3"/>
    <x v="4"/>
    <n v="758.08"/>
    <n v="8"/>
    <x v="0"/>
    <x v="894"/>
    <x v="9"/>
    <x v="2"/>
    <x v="1"/>
    <x v="11"/>
    <s v="08"/>
    <n v="0.37203197551709577"/>
    <x v="0"/>
  </r>
  <r>
    <s v="ORD100902"/>
    <s v="2025-06-07"/>
    <s v="Customer 27"/>
    <x v="2"/>
    <x v="10"/>
    <x v="1"/>
    <x v="3"/>
    <x v="5"/>
    <n v="2687.2"/>
    <n v="10"/>
    <x v="1"/>
    <x v="895"/>
    <x v="1"/>
    <x v="3"/>
    <x v="0"/>
    <x v="9"/>
    <s v="06"/>
    <n v="-0.16967475439118787"/>
    <x v="1"/>
  </r>
  <r>
    <s v="ORD100903"/>
    <s v="2024-01-19"/>
    <s v="Customer 181"/>
    <x v="2"/>
    <x v="10"/>
    <x v="0"/>
    <x v="2"/>
    <x v="11"/>
    <n v="3398.48"/>
    <n v="8"/>
    <x v="6"/>
    <x v="896"/>
    <x v="4"/>
    <x v="1"/>
    <x v="1"/>
    <x v="0"/>
    <s v="01"/>
    <n v="0.23961300346037054"/>
    <x v="2"/>
  </r>
  <r>
    <s v="ORD100904"/>
    <s v="2025-10-27"/>
    <s v="Customer 59"/>
    <x v="1"/>
    <x v="1"/>
    <x v="2"/>
    <x v="6"/>
    <x v="13"/>
    <n v="7301"/>
    <n v="7"/>
    <x v="3"/>
    <x v="897"/>
    <x v="2"/>
    <x v="0"/>
    <x v="0"/>
    <x v="2"/>
    <s v="10"/>
    <n v="0.20957540063005067"/>
    <x v="2"/>
  </r>
  <r>
    <s v="ORD100905"/>
    <s v="2025-12-15"/>
    <s v="Customer 164"/>
    <x v="2"/>
    <x v="6"/>
    <x v="1"/>
    <x v="5"/>
    <x v="24"/>
    <n v="3380.31"/>
    <n v="9"/>
    <x v="6"/>
    <x v="898"/>
    <x v="0"/>
    <x v="3"/>
    <x v="0"/>
    <x v="4"/>
    <s v="12"/>
    <n v="3.7455144646496921E-2"/>
    <x v="2"/>
  </r>
  <r>
    <s v="ORD100906"/>
    <s v="2025-01-02"/>
    <s v="Customer 120"/>
    <x v="0"/>
    <x v="9"/>
    <x v="1"/>
    <x v="3"/>
    <x v="4"/>
    <n v="148.59"/>
    <n v="1"/>
    <x v="2"/>
    <x v="899"/>
    <x v="6"/>
    <x v="2"/>
    <x v="0"/>
    <x v="0"/>
    <s v="01"/>
    <n v="-1.05659869439397E-2"/>
    <x v="1"/>
  </r>
  <r>
    <s v="ORD100907"/>
    <s v="2024-03-01"/>
    <s v="Customer 183"/>
    <x v="3"/>
    <x v="13"/>
    <x v="1"/>
    <x v="7"/>
    <x v="9"/>
    <n v="6047.02"/>
    <n v="7"/>
    <x v="2"/>
    <x v="900"/>
    <x v="2"/>
    <x v="1"/>
    <x v="1"/>
    <x v="3"/>
    <s v="03"/>
    <n v="1.9685729499819747E-2"/>
    <x v="1"/>
  </r>
  <r>
    <s v="ORD100908"/>
    <s v="2024-06-10"/>
    <s v="Customer 57"/>
    <x v="3"/>
    <x v="15"/>
    <x v="2"/>
    <x v="4"/>
    <x v="10"/>
    <n v="288.44"/>
    <n v="1"/>
    <x v="0"/>
    <x v="901"/>
    <x v="3"/>
    <x v="3"/>
    <x v="1"/>
    <x v="9"/>
    <s v="06"/>
    <n v="0.38413534877270833"/>
    <x v="0"/>
  </r>
  <r>
    <s v="ORD100909"/>
    <s v="2025-03-27"/>
    <s v="Customer 131"/>
    <x v="3"/>
    <x v="14"/>
    <x v="2"/>
    <x v="8"/>
    <x v="12"/>
    <n v="651.67999999999995"/>
    <n v="2"/>
    <x v="3"/>
    <x v="902"/>
    <x v="7"/>
    <x v="0"/>
    <x v="0"/>
    <x v="3"/>
    <s v="03"/>
    <n v="0.12469310090842133"/>
    <x v="2"/>
  </r>
  <r>
    <s v="ORD100910"/>
    <s v="2024-08-16"/>
    <s v="Customer 48"/>
    <x v="1"/>
    <x v="1"/>
    <x v="1"/>
    <x v="5"/>
    <x v="7"/>
    <n v="2612.94"/>
    <n v="6"/>
    <x v="5"/>
    <x v="903"/>
    <x v="4"/>
    <x v="2"/>
    <x v="1"/>
    <x v="11"/>
    <s v="08"/>
    <n v="0.22543954319655252"/>
    <x v="3"/>
  </r>
  <r>
    <s v="ORD100911"/>
    <s v="2025-12-17"/>
    <s v="Customer 176"/>
    <x v="2"/>
    <x v="6"/>
    <x v="0"/>
    <x v="0"/>
    <x v="0"/>
    <n v="1774.28"/>
    <n v="2"/>
    <x v="6"/>
    <x v="904"/>
    <x v="2"/>
    <x v="0"/>
    <x v="0"/>
    <x v="4"/>
    <s v="12"/>
    <n v="0.14678066596027686"/>
    <x v="2"/>
  </r>
  <r>
    <s v="ORD100912"/>
    <s v="2024-11-26"/>
    <s v="Customer 51"/>
    <x v="1"/>
    <x v="11"/>
    <x v="0"/>
    <x v="0"/>
    <x v="25"/>
    <n v="4639.95"/>
    <n v="9"/>
    <x v="1"/>
    <x v="905"/>
    <x v="6"/>
    <x v="3"/>
    <x v="1"/>
    <x v="10"/>
    <s v="11"/>
    <n v="-0.10886755245207384"/>
    <x v="1"/>
  </r>
  <r>
    <s v="ORD100913"/>
    <s v="2025-02-23"/>
    <s v="Customer 6"/>
    <x v="3"/>
    <x v="14"/>
    <x v="2"/>
    <x v="4"/>
    <x v="26"/>
    <n v="1648.02"/>
    <n v="2"/>
    <x v="5"/>
    <x v="906"/>
    <x v="0"/>
    <x v="0"/>
    <x v="0"/>
    <x v="1"/>
    <s v="02"/>
    <n v="4.1413332362471328E-2"/>
    <x v="3"/>
  </r>
  <r>
    <s v="ORD100914"/>
    <s v="2024-07-10"/>
    <s v="Customer 112"/>
    <x v="0"/>
    <x v="4"/>
    <x v="1"/>
    <x v="3"/>
    <x v="5"/>
    <n v="571.32000000000005"/>
    <n v="9"/>
    <x v="6"/>
    <x v="907"/>
    <x v="2"/>
    <x v="2"/>
    <x v="1"/>
    <x v="6"/>
    <s v="07"/>
    <n v="2.7935307708464606E-2"/>
    <x v="2"/>
  </r>
  <r>
    <s v="ORD100915"/>
    <s v="2024-10-29"/>
    <s v="Customer 143"/>
    <x v="3"/>
    <x v="15"/>
    <x v="1"/>
    <x v="5"/>
    <x v="15"/>
    <n v="5467.49"/>
    <n v="7"/>
    <x v="4"/>
    <x v="908"/>
    <x v="0"/>
    <x v="1"/>
    <x v="1"/>
    <x v="2"/>
    <s v="10"/>
    <n v="0.19136020367664139"/>
    <x v="3"/>
  </r>
  <r>
    <s v="ORD100916"/>
    <s v="2025-11-11"/>
    <s v="Customer 145"/>
    <x v="0"/>
    <x v="7"/>
    <x v="1"/>
    <x v="5"/>
    <x v="7"/>
    <n v="701.82"/>
    <n v="1"/>
    <x v="6"/>
    <x v="909"/>
    <x v="7"/>
    <x v="1"/>
    <x v="0"/>
    <x v="10"/>
    <s v="11"/>
    <n v="0.39768031689037076"/>
    <x v="2"/>
  </r>
  <r>
    <s v="ORD100917"/>
    <s v="2024-04-29"/>
    <s v="Customer 182"/>
    <x v="1"/>
    <x v="2"/>
    <x v="1"/>
    <x v="7"/>
    <x v="16"/>
    <n v="1064.96"/>
    <n v="1"/>
    <x v="0"/>
    <x v="910"/>
    <x v="4"/>
    <x v="2"/>
    <x v="1"/>
    <x v="8"/>
    <s v="04"/>
    <n v="0.44785719651442307"/>
    <x v="0"/>
  </r>
  <r>
    <s v="ORD100918"/>
    <s v="2025-04-18"/>
    <s v="Customer 22"/>
    <x v="1"/>
    <x v="1"/>
    <x v="0"/>
    <x v="1"/>
    <x v="19"/>
    <n v="2673.86"/>
    <n v="7"/>
    <x v="3"/>
    <x v="911"/>
    <x v="2"/>
    <x v="0"/>
    <x v="0"/>
    <x v="8"/>
    <s v="04"/>
    <n v="-2.6366376698854837E-3"/>
    <x v="2"/>
  </r>
  <r>
    <s v="ORD100919"/>
    <s v="2025-05-12"/>
    <s v="Customer 124"/>
    <x v="3"/>
    <x v="15"/>
    <x v="2"/>
    <x v="6"/>
    <x v="8"/>
    <n v="2818.3"/>
    <n v="5"/>
    <x v="6"/>
    <x v="912"/>
    <x v="9"/>
    <x v="2"/>
    <x v="0"/>
    <x v="7"/>
    <s v="05"/>
    <n v="0.39870844125891497"/>
    <x v="2"/>
  </r>
  <r>
    <s v="ORD100920"/>
    <s v="2024-05-10"/>
    <s v="Customer 165"/>
    <x v="0"/>
    <x v="4"/>
    <x v="1"/>
    <x v="7"/>
    <x v="9"/>
    <n v="349.05"/>
    <n v="3"/>
    <x v="4"/>
    <x v="913"/>
    <x v="4"/>
    <x v="3"/>
    <x v="1"/>
    <x v="7"/>
    <s v="05"/>
    <n v="0.20988397077782553"/>
    <x v="3"/>
  </r>
  <r>
    <s v="ORD100921"/>
    <s v="2024-07-18"/>
    <s v="Customer 97"/>
    <x v="2"/>
    <x v="10"/>
    <x v="0"/>
    <x v="2"/>
    <x v="2"/>
    <n v="1951.96"/>
    <n v="4"/>
    <x v="6"/>
    <x v="914"/>
    <x v="9"/>
    <x v="0"/>
    <x v="1"/>
    <x v="6"/>
    <s v="07"/>
    <n v="0.2573003545154614"/>
    <x v="2"/>
  </r>
  <r>
    <s v="ORD100922"/>
    <s v="2024-08-31"/>
    <s v="Customer 184"/>
    <x v="1"/>
    <x v="1"/>
    <x v="1"/>
    <x v="7"/>
    <x v="9"/>
    <n v="2087.5"/>
    <n v="10"/>
    <x v="1"/>
    <x v="915"/>
    <x v="0"/>
    <x v="1"/>
    <x v="1"/>
    <x v="11"/>
    <s v="08"/>
    <n v="3.5166467065868262E-2"/>
    <x v="1"/>
  </r>
  <r>
    <s v="ORD100923"/>
    <s v="2025-08-26"/>
    <s v="Customer 167"/>
    <x v="3"/>
    <x v="12"/>
    <x v="0"/>
    <x v="0"/>
    <x v="22"/>
    <n v="8507.7999999999993"/>
    <n v="10"/>
    <x v="4"/>
    <x v="916"/>
    <x v="1"/>
    <x v="0"/>
    <x v="0"/>
    <x v="11"/>
    <s v="08"/>
    <n v="0.136656950092856"/>
    <x v="3"/>
  </r>
  <r>
    <s v="ORD100924"/>
    <s v="2025-12-22"/>
    <s v="Customer 181"/>
    <x v="2"/>
    <x v="10"/>
    <x v="1"/>
    <x v="3"/>
    <x v="5"/>
    <n v="4218.3"/>
    <n v="10"/>
    <x v="2"/>
    <x v="917"/>
    <x v="5"/>
    <x v="0"/>
    <x v="0"/>
    <x v="4"/>
    <s v="12"/>
    <n v="-0.14631486617831829"/>
    <x v="1"/>
  </r>
  <r>
    <s v="ORD100925"/>
    <s v="2024-03-30"/>
    <s v="Customer 99"/>
    <x v="1"/>
    <x v="2"/>
    <x v="1"/>
    <x v="3"/>
    <x v="5"/>
    <n v="1554.24"/>
    <n v="3"/>
    <x v="2"/>
    <x v="918"/>
    <x v="8"/>
    <x v="0"/>
    <x v="1"/>
    <x v="3"/>
    <s v="03"/>
    <n v="-0.23426240477661109"/>
    <x v="1"/>
  </r>
  <r>
    <s v="ORD100926"/>
    <s v="2024-12-27"/>
    <s v="Customer 176"/>
    <x v="3"/>
    <x v="12"/>
    <x v="0"/>
    <x v="2"/>
    <x v="2"/>
    <n v="719.61"/>
    <n v="3"/>
    <x v="2"/>
    <x v="919"/>
    <x v="3"/>
    <x v="0"/>
    <x v="1"/>
    <x v="4"/>
    <s v="12"/>
    <n v="1.771793054571226E-2"/>
    <x v="1"/>
  </r>
  <r>
    <s v="ORD100927"/>
    <s v="2024-03-18"/>
    <s v="Customer 38"/>
    <x v="3"/>
    <x v="13"/>
    <x v="1"/>
    <x v="3"/>
    <x v="14"/>
    <n v="491.46"/>
    <n v="1"/>
    <x v="2"/>
    <x v="920"/>
    <x v="9"/>
    <x v="1"/>
    <x v="1"/>
    <x v="3"/>
    <s v="03"/>
    <n v="-7.4573719122614249E-2"/>
    <x v="1"/>
  </r>
  <r>
    <s v="ORD100928"/>
    <s v="2025-10-27"/>
    <s v="Customer 34"/>
    <x v="2"/>
    <x v="3"/>
    <x v="0"/>
    <x v="1"/>
    <x v="19"/>
    <n v="497.46"/>
    <n v="6"/>
    <x v="6"/>
    <x v="921"/>
    <x v="3"/>
    <x v="1"/>
    <x v="0"/>
    <x v="2"/>
    <s v="10"/>
    <n v="0.26721746472078162"/>
    <x v="2"/>
  </r>
  <r>
    <s v="ORD100929"/>
    <s v="2024-11-16"/>
    <s v="Customer 98"/>
    <x v="1"/>
    <x v="2"/>
    <x v="2"/>
    <x v="4"/>
    <x v="10"/>
    <n v="793.62"/>
    <n v="2"/>
    <x v="5"/>
    <x v="922"/>
    <x v="6"/>
    <x v="1"/>
    <x v="1"/>
    <x v="10"/>
    <s v="11"/>
    <n v="1.7791890325344624E-2"/>
    <x v="3"/>
  </r>
  <r>
    <s v="ORD100930"/>
    <s v="2024-03-21"/>
    <s v="Customer 10"/>
    <x v="0"/>
    <x v="7"/>
    <x v="0"/>
    <x v="1"/>
    <x v="1"/>
    <n v="2120.12"/>
    <n v="2"/>
    <x v="5"/>
    <x v="923"/>
    <x v="5"/>
    <x v="2"/>
    <x v="1"/>
    <x v="3"/>
    <s v="03"/>
    <n v="0.25510348470841276"/>
    <x v="3"/>
  </r>
  <r>
    <s v="ORD100931"/>
    <s v="2024-03-24"/>
    <s v="Customer 47"/>
    <x v="2"/>
    <x v="3"/>
    <x v="1"/>
    <x v="7"/>
    <x v="17"/>
    <n v="3359.31"/>
    <n v="3"/>
    <x v="5"/>
    <x v="924"/>
    <x v="4"/>
    <x v="3"/>
    <x v="1"/>
    <x v="3"/>
    <s v="03"/>
    <n v="0.23297046119590034"/>
    <x v="3"/>
  </r>
  <r>
    <s v="ORD100932"/>
    <s v="2025-09-18"/>
    <s v="Customer 155"/>
    <x v="1"/>
    <x v="2"/>
    <x v="1"/>
    <x v="3"/>
    <x v="4"/>
    <n v="309.42"/>
    <n v="6"/>
    <x v="1"/>
    <x v="925"/>
    <x v="5"/>
    <x v="2"/>
    <x v="0"/>
    <x v="5"/>
    <s v="09"/>
    <n v="-4.0979897873440627E-2"/>
    <x v="1"/>
  </r>
  <r>
    <s v="ORD100933"/>
    <s v="2025-07-28"/>
    <s v="Customer 16"/>
    <x v="0"/>
    <x v="0"/>
    <x v="0"/>
    <x v="1"/>
    <x v="1"/>
    <n v="3733"/>
    <n v="5"/>
    <x v="4"/>
    <x v="926"/>
    <x v="5"/>
    <x v="3"/>
    <x v="0"/>
    <x v="6"/>
    <s v="07"/>
    <n v="0.10655772836860433"/>
    <x v="3"/>
  </r>
  <r>
    <s v="ORD100934"/>
    <s v="2024-07-22"/>
    <s v="Customer 120"/>
    <x v="2"/>
    <x v="3"/>
    <x v="2"/>
    <x v="8"/>
    <x v="18"/>
    <n v="3694.4"/>
    <n v="8"/>
    <x v="0"/>
    <x v="927"/>
    <x v="6"/>
    <x v="2"/>
    <x v="1"/>
    <x v="6"/>
    <s v="07"/>
    <n v="0.29918525335643131"/>
    <x v="0"/>
  </r>
  <r>
    <s v="ORD100935"/>
    <s v="2024-08-24"/>
    <s v="Customer 42"/>
    <x v="1"/>
    <x v="5"/>
    <x v="0"/>
    <x v="1"/>
    <x v="19"/>
    <n v="2061.9"/>
    <n v="5"/>
    <x v="3"/>
    <x v="928"/>
    <x v="4"/>
    <x v="1"/>
    <x v="1"/>
    <x v="11"/>
    <s v="08"/>
    <n v="0.27949464086522136"/>
    <x v="2"/>
  </r>
  <r>
    <s v="ORD100936"/>
    <s v="2025-05-14"/>
    <s v="Customer 162"/>
    <x v="1"/>
    <x v="11"/>
    <x v="0"/>
    <x v="0"/>
    <x v="22"/>
    <n v="2628.09"/>
    <n v="3"/>
    <x v="5"/>
    <x v="929"/>
    <x v="9"/>
    <x v="3"/>
    <x v="0"/>
    <x v="7"/>
    <s v="05"/>
    <n v="-5.65429646625496E-2"/>
    <x v="3"/>
  </r>
  <r>
    <s v="ORD100937"/>
    <s v="2024-08-24"/>
    <s v="Customer 182"/>
    <x v="3"/>
    <x v="12"/>
    <x v="1"/>
    <x v="3"/>
    <x v="4"/>
    <n v="953.74"/>
    <n v="1"/>
    <x v="2"/>
    <x v="930"/>
    <x v="6"/>
    <x v="1"/>
    <x v="1"/>
    <x v="11"/>
    <s v="08"/>
    <n v="6.8865728605280271E-2"/>
    <x v="1"/>
  </r>
  <r>
    <s v="ORD100938"/>
    <s v="2024-04-20"/>
    <s v="Customer 166"/>
    <x v="1"/>
    <x v="5"/>
    <x v="0"/>
    <x v="2"/>
    <x v="21"/>
    <n v="189.62"/>
    <n v="1"/>
    <x v="5"/>
    <x v="931"/>
    <x v="4"/>
    <x v="1"/>
    <x v="1"/>
    <x v="8"/>
    <s v="04"/>
    <n v="-5.959286995042716E-3"/>
    <x v="3"/>
  </r>
  <r>
    <s v="ORD100939"/>
    <s v="2025-04-25"/>
    <s v="Customer 153"/>
    <x v="3"/>
    <x v="15"/>
    <x v="0"/>
    <x v="0"/>
    <x v="25"/>
    <n v="945.48"/>
    <n v="1"/>
    <x v="0"/>
    <x v="932"/>
    <x v="3"/>
    <x v="1"/>
    <x v="0"/>
    <x v="8"/>
    <s v="04"/>
    <n v="0.37232939882387778"/>
    <x v="0"/>
  </r>
  <r>
    <s v="ORD100940"/>
    <s v="2025-07-06"/>
    <s v="Customer 136"/>
    <x v="3"/>
    <x v="13"/>
    <x v="1"/>
    <x v="5"/>
    <x v="15"/>
    <n v="312.27999999999997"/>
    <n v="1"/>
    <x v="6"/>
    <x v="933"/>
    <x v="3"/>
    <x v="1"/>
    <x v="0"/>
    <x v="6"/>
    <s v="07"/>
    <n v="9.398616626104779E-2"/>
    <x v="2"/>
  </r>
  <r>
    <s v="ORD100941"/>
    <s v="2024-06-24"/>
    <s v="Customer 26"/>
    <x v="3"/>
    <x v="15"/>
    <x v="2"/>
    <x v="8"/>
    <x v="12"/>
    <n v="3043.89"/>
    <n v="3"/>
    <x v="2"/>
    <x v="934"/>
    <x v="1"/>
    <x v="1"/>
    <x v="1"/>
    <x v="9"/>
    <s v="06"/>
    <n v="-7.1957265209978027E-2"/>
    <x v="1"/>
  </r>
  <r>
    <s v="ORD100942"/>
    <s v="2024-05-03"/>
    <s v="Customer 185"/>
    <x v="2"/>
    <x v="8"/>
    <x v="2"/>
    <x v="6"/>
    <x v="23"/>
    <n v="289.92"/>
    <n v="3"/>
    <x v="4"/>
    <x v="935"/>
    <x v="6"/>
    <x v="2"/>
    <x v="1"/>
    <x v="7"/>
    <s v="05"/>
    <n v="0.10095888520971302"/>
    <x v="3"/>
  </r>
  <r>
    <s v="ORD100943"/>
    <s v="2025-12-22"/>
    <s v="Customer 73"/>
    <x v="2"/>
    <x v="8"/>
    <x v="0"/>
    <x v="1"/>
    <x v="19"/>
    <n v="937.66"/>
    <n v="2"/>
    <x v="4"/>
    <x v="936"/>
    <x v="3"/>
    <x v="2"/>
    <x v="0"/>
    <x v="4"/>
    <s v="12"/>
    <n v="0.20715397905424143"/>
    <x v="3"/>
  </r>
  <r>
    <s v="ORD100944"/>
    <s v="2024-09-04"/>
    <s v="Customer 149"/>
    <x v="0"/>
    <x v="7"/>
    <x v="1"/>
    <x v="3"/>
    <x v="14"/>
    <n v="2311.5500000000002"/>
    <n v="5"/>
    <x v="4"/>
    <x v="937"/>
    <x v="5"/>
    <x v="1"/>
    <x v="1"/>
    <x v="5"/>
    <s v="09"/>
    <n v="-8.1767645086630175E-2"/>
    <x v="3"/>
  </r>
  <r>
    <s v="ORD100945"/>
    <s v="2025-05-27"/>
    <s v="Customer 85"/>
    <x v="2"/>
    <x v="6"/>
    <x v="0"/>
    <x v="1"/>
    <x v="1"/>
    <n v="1437.6"/>
    <n v="6"/>
    <x v="4"/>
    <x v="938"/>
    <x v="0"/>
    <x v="1"/>
    <x v="0"/>
    <x v="7"/>
    <s v="05"/>
    <n v="1.6715358931552588E-2"/>
    <x v="3"/>
  </r>
  <r>
    <s v="ORD100946"/>
    <s v="2024-05-03"/>
    <s v="Customer 99"/>
    <x v="2"/>
    <x v="8"/>
    <x v="2"/>
    <x v="6"/>
    <x v="23"/>
    <n v="4037.1"/>
    <n v="5"/>
    <x v="5"/>
    <x v="939"/>
    <x v="8"/>
    <x v="0"/>
    <x v="1"/>
    <x v="7"/>
    <s v="05"/>
    <n v="6.1338584627579205E-2"/>
    <x v="3"/>
  </r>
  <r>
    <s v="ORD100947"/>
    <s v="2024-04-12"/>
    <s v="Customer 74"/>
    <x v="1"/>
    <x v="11"/>
    <x v="1"/>
    <x v="5"/>
    <x v="15"/>
    <n v="6641.37"/>
    <n v="9"/>
    <x v="2"/>
    <x v="940"/>
    <x v="3"/>
    <x v="0"/>
    <x v="1"/>
    <x v="8"/>
    <s v="04"/>
    <n v="-0.11915613796551013"/>
    <x v="1"/>
  </r>
  <r>
    <s v="ORD100948"/>
    <s v="2025-04-19"/>
    <s v="Customer 20"/>
    <x v="0"/>
    <x v="4"/>
    <x v="2"/>
    <x v="8"/>
    <x v="20"/>
    <n v="3878"/>
    <n v="10"/>
    <x v="6"/>
    <x v="941"/>
    <x v="4"/>
    <x v="2"/>
    <x v="0"/>
    <x v="8"/>
    <s v="04"/>
    <n v="0.15504899432697267"/>
    <x v="2"/>
  </r>
  <r>
    <s v="ORD100949"/>
    <s v="2025-07-17"/>
    <s v="Customer 2"/>
    <x v="0"/>
    <x v="4"/>
    <x v="0"/>
    <x v="0"/>
    <x v="25"/>
    <n v="10009.9"/>
    <n v="10"/>
    <x v="6"/>
    <x v="942"/>
    <x v="3"/>
    <x v="2"/>
    <x v="0"/>
    <x v="6"/>
    <s v="07"/>
    <n v="0.17203168862825802"/>
    <x v="2"/>
  </r>
  <r>
    <s v="ORD100950"/>
    <s v="2025-03-22"/>
    <s v="Customer 179"/>
    <x v="1"/>
    <x v="2"/>
    <x v="0"/>
    <x v="2"/>
    <x v="11"/>
    <n v="680.58"/>
    <n v="6"/>
    <x v="0"/>
    <x v="943"/>
    <x v="7"/>
    <x v="1"/>
    <x v="0"/>
    <x v="3"/>
    <s v="03"/>
    <n v="0.25027182697111289"/>
    <x v="0"/>
  </r>
  <r>
    <s v="ORD100951"/>
    <s v="2024-10-31"/>
    <s v="Customer 154"/>
    <x v="0"/>
    <x v="0"/>
    <x v="2"/>
    <x v="6"/>
    <x v="13"/>
    <n v="2151.58"/>
    <n v="2"/>
    <x v="3"/>
    <x v="944"/>
    <x v="1"/>
    <x v="3"/>
    <x v="1"/>
    <x v="2"/>
    <s v="10"/>
    <n v="0.3332481246339899"/>
    <x v="2"/>
  </r>
  <r>
    <s v="ORD100952"/>
    <s v="2025-09-17"/>
    <s v="Customer 123"/>
    <x v="0"/>
    <x v="0"/>
    <x v="0"/>
    <x v="1"/>
    <x v="3"/>
    <n v="3975.75"/>
    <n v="9"/>
    <x v="4"/>
    <x v="945"/>
    <x v="8"/>
    <x v="3"/>
    <x v="0"/>
    <x v="5"/>
    <s v="09"/>
    <n v="3.9210211909702565E-2"/>
    <x v="3"/>
  </r>
  <r>
    <s v="ORD100953"/>
    <s v="2025-03-03"/>
    <s v="Customer 181"/>
    <x v="2"/>
    <x v="6"/>
    <x v="0"/>
    <x v="1"/>
    <x v="3"/>
    <n v="892.93"/>
    <n v="1"/>
    <x v="4"/>
    <x v="946"/>
    <x v="4"/>
    <x v="3"/>
    <x v="0"/>
    <x v="3"/>
    <s v="03"/>
    <n v="-0.14240757954150943"/>
    <x v="3"/>
  </r>
  <r>
    <s v="ORD100954"/>
    <s v="2025-05-08"/>
    <s v="Customer 188"/>
    <x v="3"/>
    <x v="15"/>
    <x v="2"/>
    <x v="6"/>
    <x v="8"/>
    <n v="8385.4"/>
    <n v="10"/>
    <x v="0"/>
    <x v="947"/>
    <x v="7"/>
    <x v="2"/>
    <x v="0"/>
    <x v="7"/>
    <s v="05"/>
    <n v="8.6954706990721969E-2"/>
    <x v="0"/>
  </r>
  <r>
    <s v="ORD100955"/>
    <s v="2024-06-30"/>
    <s v="Customer 115"/>
    <x v="3"/>
    <x v="14"/>
    <x v="0"/>
    <x v="1"/>
    <x v="3"/>
    <n v="38.56"/>
    <n v="1"/>
    <x v="0"/>
    <x v="948"/>
    <x v="3"/>
    <x v="2"/>
    <x v="1"/>
    <x v="9"/>
    <s v="06"/>
    <n v="0.22769709543568462"/>
    <x v="0"/>
  </r>
  <r>
    <s v="ORD100956"/>
    <s v="2025-08-29"/>
    <s v="Customer 26"/>
    <x v="2"/>
    <x v="3"/>
    <x v="2"/>
    <x v="6"/>
    <x v="23"/>
    <n v="1980.54"/>
    <n v="6"/>
    <x v="6"/>
    <x v="949"/>
    <x v="7"/>
    <x v="2"/>
    <x v="0"/>
    <x v="11"/>
    <s v="08"/>
    <n v="3.6914174921990971E-2"/>
    <x v="2"/>
  </r>
  <r>
    <s v="ORD100957"/>
    <s v="2025-03-06"/>
    <s v="Customer 107"/>
    <x v="0"/>
    <x v="9"/>
    <x v="1"/>
    <x v="7"/>
    <x v="9"/>
    <n v="7100.6"/>
    <n v="10"/>
    <x v="5"/>
    <x v="950"/>
    <x v="8"/>
    <x v="2"/>
    <x v="0"/>
    <x v="3"/>
    <s v="03"/>
    <n v="6.0755429118666028E-3"/>
    <x v="3"/>
  </r>
  <r>
    <s v="ORD100958"/>
    <s v="2024-09-16"/>
    <s v="Customer 123"/>
    <x v="2"/>
    <x v="10"/>
    <x v="2"/>
    <x v="4"/>
    <x v="6"/>
    <n v="2096.9499999999998"/>
    <n v="5"/>
    <x v="4"/>
    <x v="951"/>
    <x v="7"/>
    <x v="0"/>
    <x v="1"/>
    <x v="5"/>
    <s v="09"/>
    <n v="0.16353751877727177"/>
    <x v="3"/>
  </r>
  <r>
    <s v="ORD100959"/>
    <s v="2024-05-11"/>
    <s v="Customer 14"/>
    <x v="1"/>
    <x v="1"/>
    <x v="0"/>
    <x v="1"/>
    <x v="3"/>
    <n v="4721.04"/>
    <n v="8"/>
    <x v="6"/>
    <x v="952"/>
    <x v="1"/>
    <x v="0"/>
    <x v="1"/>
    <x v="7"/>
    <s v="05"/>
    <n v="0.29280412790402111"/>
    <x v="2"/>
  </r>
  <r>
    <s v="ORD100960"/>
    <s v="2024-05-16"/>
    <s v="Customer 24"/>
    <x v="1"/>
    <x v="2"/>
    <x v="2"/>
    <x v="8"/>
    <x v="12"/>
    <n v="8636.94"/>
    <n v="9"/>
    <x v="4"/>
    <x v="953"/>
    <x v="1"/>
    <x v="1"/>
    <x v="1"/>
    <x v="7"/>
    <s v="05"/>
    <n v="6.9165699889081084E-2"/>
    <x v="3"/>
  </r>
  <r>
    <s v="ORD100961"/>
    <s v="2025-01-31"/>
    <s v="Customer 37"/>
    <x v="3"/>
    <x v="14"/>
    <x v="1"/>
    <x v="3"/>
    <x v="14"/>
    <n v="2921.52"/>
    <n v="4"/>
    <x v="1"/>
    <x v="954"/>
    <x v="3"/>
    <x v="3"/>
    <x v="0"/>
    <x v="0"/>
    <s v="01"/>
    <n v="7.1633943974369507E-2"/>
    <x v="1"/>
  </r>
  <r>
    <s v="ORD100962"/>
    <s v="2024-07-16"/>
    <s v="Customer 137"/>
    <x v="3"/>
    <x v="14"/>
    <x v="0"/>
    <x v="1"/>
    <x v="19"/>
    <n v="1065.1400000000001"/>
    <n v="1"/>
    <x v="5"/>
    <x v="955"/>
    <x v="7"/>
    <x v="2"/>
    <x v="1"/>
    <x v="6"/>
    <s v="07"/>
    <n v="0.20365397975852936"/>
    <x v="3"/>
  </r>
  <r>
    <s v="ORD100963"/>
    <s v="2024-05-14"/>
    <s v="Customer 120"/>
    <x v="1"/>
    <x v="11"/>
    <x v="1"/>
    <x v="5"/>
    <x v="15"/>
    <n v="3447"/>
    <n v="3"/>
    <x v="4"/>
    <x v="956"/>
    <x v="5"/>
    <x v="1"/>
    <x v="1"/>
    <x v="7"/>
    <s v="05"/>
    <n v="0.19918189730200175"/>
    <x v="3"/>
  </r>
  <r>
    <s v="ORD100964"/>
    <s v="2024-07-22"/>
    <s v="Customer 121"/>
    <x v="1"/>
    <x v="11"/>
    <x v="2"/>
    <x v="6"/>
    <x v="13"/>
    <n v="5534.05"/>
    <n v="5"/>
    <x v="5"/>
    <x v="957"/>
    <x v="5"/>
    <x v="2"/>
    <x v="1"/>
    <x v="6"/>
    <s v="07"/>
    <n v="0.17666988914086429"/>
    <x v="3"/>
  </r>
  <r>
    <s v="ORD100965"/>
    <s v="2024-04-24"/>
    <s v="Customer 93"/>
    <x v="3"/>
    <x v="13"/>
    <x v="1"/>
    <x v="3"/>
    <x v="14"/>
    <n v="2598.7199999999998"/>
    <n v="4"/>
    <x v="3"/>
    <x v="958"/>
    <x v="7"/>
    <x v="1"/>
    <x v="1"/>
    <x v="8"/>
    <s v="04"/>
    <n v="0.26155568895456227"/>
    <x v="2"/>
  </r>
  <r>
    <s v="ORD100966"/>
    <s v="2024-05-19"/>
    <s v="Customer 58"/>
    <x v="2"/>
    <x v="8"/>
    <x v="1"/>
    <x v="5"/>
    <x v="24"/>
    <n v="1545.63"/>
    <n v="3"/>
    <x v="6"/>
    <x v="959"/>
    <x v="9"/>
    <x v="3"/>
    <x v="1"/>
    <x v="7"/>
    <s v="05"/>
    <n v="0.17746808744654283"/>
    <x v="2"/>
  </r>
  <r>
    <s v="ORD100967"/>
    <s v="2024-01-11"/>
    <s v="Customer 103"/>
    <x v="2"/>
    <x v="8"/>
    <x v="0"/>
    <x v="0"/>
    <x v="22"/>
    <n v="569.14"/>
    <n v="2"/>
    <x v="5"/>
    <x v="960"/>
    <x v="1"/>
    <x v="1"/>
    <x v="1"/>
    <x v="0"/>
    <s v="01"/>
    <n v="0.18589450750254771"/>
    <x v="3"/>
  </r>
  <r>
    <s v="ORD100968"/>
    <s v="2024-11-09"/>
    <s v="Customer 158"/>
    <x v="3"/>
    <x v="12"/>
    <x v="1"/>
    <x v="7"/>
    <x v="17"/>
    <n v="5968.15"/>
    <n v="5"/>
    <x v="5"/>
    <x v="961"/>
    <x v="6"/>
    <x v="1"/>
    <x v="1"/>
    <x v="10"/>
    <s v="11"/>
    <n v="-5.1568744083174856E-2"/>
    <x v="3"/>
  </r>
  <r>
    <s v="ORD100969"/>
    <s v="2025-01-22"/>
    <s v="Customer 69"/>
    <x v="3"/>
    <x v="15"/>
    <x v="1"/>
    <x v="7"/>
    <x v="17"/>
    <n v="7458.1"/>
    <n v="10"/>
    <x v="5"/>
    <x v="962"/>
    <x v="7"/>
    <x v="3"/>
    <x v="0"/>
    <x v="0"/>
    <s v="01"/>
    <n v="0.19272200694546868"/>
    <x v="3"/>
  </r>
  <r>
    <s v="ORD100970"/>
    <s v="2024-10-22"/>
    <s v="Customer 179"/>
    <x v="1"/>
    <x v="1"/>
    <x v="1"/>
    <x v="5"/>
    <x v="15"/>
    <n v="617.82000000000005"/>
    <n v="3"/>
    <x v="6"/>
    <x v="963"/>
    <x v="4"/>
    <x v="1"/>
    <x v="1"/>
    <x v="2"/>
    <s v="10"/>
    <n v="0.2073095723673562"/>
    <x v="2"/>
  </r>
  <r>
    <s v="ORD100971"/>
    <s v="2025-06-20"/>
    <s v="Customer 172"/>
    <x v="0"/>
    <x v="9"/>
    <x v="0"/>
    <x v="2"/>
    <x v="21"/>
    <n v="942.36"/>
    <n v="4"/>
    <x v="2"/>
    <x v="964"/>
    <x v="0"/>
    <x v="2"/>
    <x v="0"/>
    <x v="9"/>
    <s v="06"/>
    <n v="-2.4597818243558726E-2"/>
    <x v="1"/>
  </r>
  <r>
    <s v="ORD100972"/>
    <s v="2024-09-25"/>
    <s v="Customer 180"/>
    <x v="3"/>
    <x v="15"/>
    <x v="2"/>
    <x v="6"/>
    <x v="13"/>
    <n v="2154.36"/>
    <n v="3"/>
    <x v="1"/>
    <x v="965"/>
    <x v="3"/>
    <x v="3"/>
    <x v="1"/>
    <x v="5"/>
    <s v="09"/>
    <n v="-0.15412001708163908"/>
    <x v="1"/>
  </r>
  <r>
    <s v="ORD100973"/>
    <s v="2025-06-24"/>
    <s v="Customer 34"/>
    <x v="3"/>
    <x v="14"/>
    <x v="1"/>
    <x v="3"/>
    <x v="5"/>
    <n v="3565.6"/>
    <n v="5"/>
    <x v="2"/>
    <x v="966"/>
    <x v="7"/>
    <x v="2"/>
    <x v="0"/>
    <x v="9"/>
    <s v="06"/>
    <n v="6.2873008750280457E-2"/>
    <x v="1"/>
  </r>
  <r>
    <s v="ORD100974"/>
    <s v="2024-06-05"/>
    <s v="Customer 124"/>
    <x v="2"/>
    <x v="8"/>
    <x v="2"/>
    <x v="8"/>
    <x v="18"/>
    <n v="2005.83"/>
    <n v="3"/>
    <x v="3"/>
    <x v="967"/>
    <x v="2"/>
    <x v="3"/>
    <x v="1"/>
    <x v="9"/>
    <s v="06"/>
    <n v="4.4011705877367475E-2"/>
    <x v="2"/>
  </r>
  <r>
    <s v="ORD100975"/>
    <s v="2024-02-25"/>
    <s v="Customer 183"/>
    <x v="1"/>
    <x v="5"/>
    <x v="0"/>
    <x v="0"/>
    <x v="25"/>
    <n v="873.64"/>
    <n v="1"/>
    <x v="2"/>
    <x v="968"/>
    <x v="1"/>
    <x v="1"/>
    <x v="1"/>
    <x v="1"/>
    <s v="02"/>
    <n v="-4.2843734261251772E-2"/>
    <x v="1"/>
  </r>
  <r>
    <s v="ORD100976"/>
    <s v="2024-09-08"/>
    <s v="Customer 16"/>
    <x v="2"/>
    <x v="10"/>
    <x v="0"/>
    <x v="0"/>
    <x v="0"/>
    <n v="876.9"/>
    <n v="5"/>
    <x v="4"/>
    <x v="969"/>
    <x v="7"/>
    <x v="1"/>
    <x v="1"/>
    <x v="5"/>
    <s v="09"/>
    <n v="-7.2950165355228649E-2"/>
    <x v="3"/>
  </r>
  <r>
    <s v="ORD100977"/>
    <s v="2024-01-01"/>
    <s v="Customer 117"/>
    <x v="1"/>
    <x v="11"/>
    <x v="1"/>
    <x v="7"/>
    <x v="16"/>
    <n v="2997.96"/>
    <n v="4"/>
    <x v="5"/>
    <x v="970"/>
    <x v="6"/>
    <x v="2"/>
    <x v="1"/>
    <x v="0"/>
    <s v="01"/>
    <n v="-7.6765533896382868E-2"/>
    <x v="3"/>
  </r>
  <r>
    <s v="ORD100978"/>
    <s v="2024-01-22"/>
    <s v="Customer 64"/>
    <x v="2"/>
    <x v="8"/>
    <x v="2"/>
    <x v="6"/>
    <x v="13"/>
    <n v="278.8"/>
    <n v="2"/>
    <x v="5"/>
    <x v="971"/>
    <x v="5"/>
    <x v="3"/>
    <x v="1"/>
    <x v="0"/>
    <s v="01"/>
    <n v="0.23328550932568151"/>
    <x v="3"/>
  </r>
  <r>
    <s v="ORD100979"/>
    <s v="2024-04-24"/>
    <s v="Customer 118"/>
    <x v="1"/>
    <x v="5"/>
    <x v="0"/>
    <x v="2"/>
    <x v="11"/>
    <n v="4141.5600000000004"/>
    <n v="4"/>
    <x v="4"/>
    <x v="972"/>
    <x v="8"/>
    <x v="1"/>
    <x v="1"/>
    <x v="8"/>
    <s v="04"/>
    <n v="1.1046562164981311E-2"/>
    <x v="3"/>
  </r>
  <r>
    <s v="ORD100980"/>
    <s v="2024-10-25"/>
    <s v="Customer 132"/>
    <x v="1"/>
    <x v="5"/>
    <x v="0"/>
    <x v="2"/>
    <x v="21"/>
    <n v="371.82"/>
    <n v="1"/>
    <x v="0"/>
    <x v="973"/>
    <x v="6"/>
    <x v="1"/>
    <x v="1"/>
    <x v="2"/>
    <s v="10"/>
    <n v="0.30732612554461836"/>
    <x v="0"/>
  </r>
  <r>
    <s v="ORD100981"/>
    <s v="2025-07-31"/>
    <s v="Customer 192"/>
    <x v="2"/>
    <x v="3"/>
    <x v="0"/>
    <x v="0"/>
    <x v="0"/>
    <n v="1609.85"/>
    <n v="5"/>
    <x v="2"/>
    <x v="974"/>
    <x v="9"/>
    <x v="0"/>
    <x v="0"/>
    <x v="6"/>
    <s v="07"/>
    <n v="5.6682299593129801E-2"/>
    <x v="1"/>
  </r>
  <r>
    <s v="ORD100982"/>
    <s v="2025-11-06"/>
    <s v="Customer 56"/>
    <x v="0"/>
    <x v="4"/>
    <x v="0"/>
    <x v="2"/>
    <x v="2"/>
    <n v="2520.1999999999998"/>
    <n v="4"/>
    <x v="3"/>
    <x v="975"/>
    <x v="6"/>
    <x v="2"/>
    <x v="0"/>
    <x v="10"/>
    <s v="11"/>
    <n v="1.3451313387826363E-3"/>
    <x v="2"/>
  </r>
  <r>
    <s v="ORD100983"/>
    <s v="2024-12-10"/>
    <s v="Customer 23"/>
    <x v="3"/>
    <x v="14"/>
    <x v="2"/>
    <x v="8"/>
    <x v="12"/>
    <n v="2402.4699999999998"/>
    <n v="7"/>
    <x v="3"/>
    <x v="976"/>
    <x v="7"/>
    <x v="2"/>
    <x v="1"/>
    <x v="4"/>
    <s v="12"/>
    <n v="0.12501300744650298"/>
    <x v="2"/>
  </r>
  <r>
    <s v="ORD100984"/>
    <s v="2024-07-22"/>
    <s v="Customer 183"/>
    <x v="1"/>
    <x v="1"/>
    <x v="1"/>
    <x v="3"/>
    <x v="4"/>
    <n v="4246.7"/>
    <n v="10"/>
    <x v="3"/>
    <x v="977"/>
    <x v="3"/>
    <x v="2"/>
    <x v="1"/>
    <x v="6"/>
    <s v="07"/>
    <n v="0.31653283726187392"/>
    <x v="2"/>
  </r>
  <r>
    <s v="ORD100985"/>
    <s v="2024-10-18"/>
    <s v="Customer 138"/>
    <x v="3"/>
    <x v="14"/>
    <x v="0"/>
    <x v="0"/>
    <x v="22"/>
    <n v="2540.31"/>
    <n v="3"/>
    <x v="5"/>
    <x v="978"/>
    <x v="6"/>
    <x v="0"/>
    <x v="1"/>
    <x v="2"/>
    <s v="10"/>
    <n v="0.20722667705909908"/>
    <x v="3"/>
  </r>
  <r>
    <s v="ORD100986"/>
    <s v="2025-01-10"/>
    <s v="Customer 118"/>
    <x v="2"/>
    <x v="10"/>
    <x v="1"/>
    <x v="3"/>
    <x v="4"/>
    <n v="2358.15"/>
    <n v="3"/>
    <x v="1"/>
    <x v="979"/>
    <x v="5"/>
    <x v="1"/>
    <x v="0"/>
    <x v="0"/>
    <s v="01"/>
    <n v="-0.14526641647053834"/>
    <x v="1"/>
  </r>
  <r>
    <s v="ORD100987"/>
    <s v="2024-03-14"/>
    <s v="Customer 79"/>
    <x v="3"/>
    <x v="15"/>
    <x v="2"/>
    <x v="6"/>
    <x v="23"/>
    <n v="1295.1600000000001"/>
    <n v="2"/>
    <x v="2"/>
    <x v="980"/>
    <x v="6"/>
    <x v="0"/>
    <x v="1"/>
    <x v="3"/>
    <s v="03"/>
    <n v="4.8387843972945425E-2"/>
    <x v="1"/>
  </r>
  <r>
    <s v="ORD100988"/>
    <s v="2024-06-04"/>
    <s v="Customer 88"/>
    <x v="1"/>
    <x v="1"/>
    <x v="1"/>
    <x v="7"/>
    <x v="17"/>
    <n v="299.45999999999998"/>
    <n v="1"/>
    <x v="0"/>
    <x v="981"/>
    <x v="5"/>
    <x v="0"/>
    <x v="1"/>
    <x v="9"/>
    <s v="06"/>
    <n v="0.40145595405062451"/>
    <x v="0"/>
  </r>
  <r>
    <s v="ORD100989"/>
    <s v="2024-12-11"/>
    <s v="Customer 17"/>
    <x v="3"/>
    <x v="15"/>
    <x v="0"/>
    <x v="1"/>
    <x v="19"/>
    <n v="8178.66"/>
    <n v="7"/>
    <x v="6"/>
    <x v="982"/>
    <x v="4"/>
    <x v="1"/>
    <x v="1"/>
    <x v="4"/>
    <s v="12"/>
    <n v="3.8646917710236151E-2"/>
    <x v="2"/>
  </r>
  <r>
    <s v="ORD100990"/>
    <s v="2025-10-29"/>
    <s v="Customer 190"/>
    <x v="2"/>
    <x v="6"/>
    <x v="2"/>
    <x v="6"/>
    <x v="13"/>
    <n v="1793.54"/>
    <n v="7"/>
    <x v="1"/>
    <x v="983"/>
    <x v="5"/>
    <x v="3"/>
    <x v="0"/>
    <x v="2"/>
    <s v="10"/>
    <n v="3.13625567313804E-2"/>
    <x v="1"/>
  </r>
  <r>
    <s v="ORD100991"/>
    <s v="2025-02-23"/>
    <s v="Customer 189"/>
    <x v="1"/>
    <x v="11"/>
    <x v="2"/>
    <x v="6"/>
    <x v="23"/>
    <n v="7369.3"/>
    <n v="10"/>
    <x v="3"/>
    <x v="984"/>
    <x v="4"/>
    <x v="0"/>
    <x v="0"/>
    <x v="1"/>
    <s v="02"/>
    <n v="1.7476558153420269E-2"/>
    <x v="2"/>
  </r>
  <r>
    <s v="ORD100992"/>
    <s v="2024-03-19"/>
    <s v="Customer 11"/>
    <x v="2"/>
    <x v="3"/>
    <x v="0"/>
    <x v="0"/>
    <x v="22"/>
    <n v="7309.68"/>
    <n v="8"/>
    <x v="0"/>
    <x v="985"/>
    <x v="3"/>
    <x v="0"/>
    <x v="1"/>
    <x v="3"/>
    <s v="03"/>
    <n v="0.32278020378457062"/>
    <x v="0"/>
  </r>
  <r>
    <s v="ORD100993"/>
    <s v="2025-12-07"/>
    <s v="Customer 82"/>
    <x v="3"/>
    <x v="14"/>
    <x v="0"/>
    <x v="2"/>
    <x v="2"/>
    <n v="1539.21"/>
    <n v="3"/>
    <x v="5"/>
    <x v="986"/>
    <x v="0"/>
    <x v="2"/>
    <x v="0"/>
    <x v="4"/>
    <s v="12"/>
    <n v="0.28030613106723579"/>
    <x v="3"/>
  </r>
  <r>
    <s v="ORD100994"/>
    <s v="2025-07-28"/>
    <s v="Customer 73"/>
    <x v="2"/>
    <x v="3"/>
    <x v="1"/>
    <x v="3"/>
    <x v="4"/>
    <n v="2703.12"/>
    <n v="7"/>
    <x v="0"/>
    <x v="987"/>
    <x v="3"/>
    <x v="3"/>
    <x v="0"/>
    <x v="6"/>
    <s v="07"/>
    <n v="0.34775000739885764"/>
    <x v="0"/>
  </r>
  <r>
    <s v="ORD100995"/>
    <s v="2024-01-19"/>
    <s v="Customer 53"/>
    <x v="2"/>
    <x v="10"/>
    <x v="1"/>
    <x v="3"/>
    <x v="14"/>
    <n v="5973.3"/>
    <n v="9"/>
    <x v="3"/>
    <x v="988"/>
    <x v="4"/>
    <x v="3"/>
    <x v="1"/>
    <x v="0"/>
    <s v="01"/>
    <n v="0.14530996266720239"/>
    <x v="2"/>
  </r>
  <r>
    <s v="ORD100996"/>
    <s v="2025-07-17"/>
    <s v="Customer 117"/>
    <x v="0"/>
    <x v="7"/>
    <x v="2"/>
    <x v="8"/>
    <x v="12"/>
    <n v="5162.08"/>
    <n v="7"/>
    <x v="5"/>
    <x v="989"/>
    <x v="0"/>
    <x v="3"/>
    <x v="0"/>
    <x v="6"/>
    <s v="07"/>
    <n v="-1.4381799584663546E-2"/>
    <x v="3"/>
  </r>
  <r>
    <s v="ORD100997"/>
    <s v="2025-02-10"/>
    <s v="Customer 100"/>
    <x v="1"/>
    <x v="2"/>
    <x v="0"/>
    <x v="2"/>
    <x v="11"/>
    <n v="1363.59"/>
    <n v="3"/>
    <x v="3"/>
    <x v="990"/>
    <x v="2"/>
    <x v="2"/>
    <x v="0"/>
    <x v="1"/>
    <s v="02"/>
    <n v="0.34477372230655845"/>
    <x v="2"/>
  </r>
  <r>
    <s v="ORD100998"/>
    <s v="2024-05-06"/>
    <s v="Customer 31"/>
    <x v="2"/>
    <x v="6"/>
    <x v="2"/>
    <x v="8"/>
    <x v="12"/>
    <n v="4257.6099999999997"/>
    <n v="7"/>
    <x v="4"/>
    <x v="991"/>
    <x v="7"/>
    <x v="0"/>
    <x v="1"/>
    <x v="7"/>
    <s v="05"/>
    <n v="0.2079335589685293"/>
    <x v="3"/>
  </r>
  <r>
    <s v="ORD100999"/>
    <s v="2024-01-21"/>
    <s v="Customer 67"/>
    <x v="1"/>
    <x v="1"/>
    <x v="1"/>
    <x v="3"/>
    <x v="14"/>
    <n v="2930.27"/>
    <n v="7"/>
    <x v="0"/>
    <x v="992"/>
    <x v="5"/>
    <x v="3"/>
    <x v="1"/>
    <x v="0"/>
    <s v="01"/>
    <n v="0.3988540305159593"/>
    <x v="0"/>
  </r>
  <r>
    <s v="ORD101000"/>
    <s v="2025-08-31"/>
    <s v="Customer 93"/>
    <x v="2"/>
    <x v="8"/>
    <x v="1"/>
    <x v="3"/>
    <x v="14"/>
    <n v="3425.5"/>
    <n v="10"/>
    <x v="4"/>
    <x v="993"/>
    <x v="8"/>
    <x v="0"/>
    <x v="0"/>
    <x v="11"/>
    <s v="08"/>
    <n v="0.19180557582834623"/>
    <x v="3"/>
  </r>
  <r>
    <s v="ORD101001"/>
    <s v="2024-11-15"/>
    <s v="Customer 144"/>
    <x v="1"/>
    <x v="2"/>
    <x v="1"/>
    <x v="7"/>
    <x v="17"/>
    <n v="5809.85"/>
    <n v="5"/>
    <x v="5"/>
    <x v="994"/>
    <x v="4"/>
    <x v="0"/>
    <x v="1"/>
    <x v="10"/>
    <s v="11"/>
    <n v="0.2631307176605247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BB22D3-C533-DA4B-A00E-CBA1A01C908B}" name="PivotTable2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B33" firstHeaderRow="1" firstDataRow="1" firstDataCol="1"/>
  <pivotFields count="19">
    <pivotField showAll="0"/>
    <pivotField showAll="0"/>
    <pivotField showAll="0"/>
    <pivotField showAll="0"/>
    <pivotField showAll="0"/>
    <pivotField showAll="0"/>
    <pivotField showAll="0"/>
    <pivotField showAll="0"/>
    <pivotField numFmtId="164" showAll="0"/>
    <pivotField showAll="0"/>
    <pivotField numFmtId="9" showAll="0"/>
    <pivotField dataField="1" numFmtId="164" showAll="0"/>
    <pivotField showAll="0"/>
    <pivotField showAll="0"/>
    <pivotField showAll="0"/>
    <pivotField axis="axisRow" showAll="0">
      <items count="13">
        <item x="0"/>
        <item x="1"/>
        <item x="3"/>
        <item x="8"/>
        <item x="7"/>
        <item x="9"/>
        <item x="6"/>
        <item x="11"/>
        <item x="5"/>
        <item x="2"/>
        <item x="10"/>
        <item x="4"/>
        <item t="default"/>
      </items>
    </pivotField>
    <pivotField showAll="0"/>
    <pivotField numFmtId="9" showAll="0"/>
    <pivotField showAll="0"/>
  </pivotFields>
  <rowFields count="1">
    <field x="15"/>
  </rowFields>
  <rowItems count="13">
    <i>
      <x/>
    </i>
    <i>
      <x v="1"/>
    </i>
    <i>
      <x v="2"/>
    </i>
    <i>
      <x v="3"/>
    </i>
    <i>
      <x v="4"/>
    </i>
    <i>
      <x v="5"/>
    </i>
    <i>
      <x v="6"/>
    </i>
    <i>
      <x v="7"/>
    </i>
    <i>
      <x v="8"/>
    </i>
    <i>
      <x v="9"/>
    </i>
    <i>
      <x v="10"/>
    </i>
    <i>
      <x v="11"/>
    </i>
    <i t="grand">
      <x/>
    </i>
  </rowItems>
  <colItems count="1">
    <i/>
  </colItems>
  <dataFields count="1">
    <dataField name="Sum of Profit" fld="11" baseField="0"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01C194-2349-8B40-9E85-4A9539A4A85D}"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3:B77" firstHeaderRow="1" firstDataRow="1" firstDataCol="1"/>
  <pivotFields count="19">
    <pivotField showAll="0"/>
    <pivotField showAll="0"/>
    <pivotField showAll="0"/>
    <pivotField showAll="0"/>
    <pivotField showAll="0"/>
    <pivotField axis="axisRow" showAll="0">
      <items count="4">
        <item x="1"/>
        <item x="0"/>
        <item x="2"/>
        <item t="default"/>
      </items>
    </pivotField>
    <pivotField showAll="0"/>
    <pivotField showAll="0"/>
    <pivotField dataField="1" numFmtId="164" showAll="0"/>
    <pivotField showAll="0"/>
    <pivotField numFmtId="9" showAll="0"/>
    <pivotField numFmtId="164" showAll="0"/>
    <pivotField showAll="0"/>
    <pivotField showAll="0"/>
    <pivotField showAll="0"/>
    <pivotField showAll="0"/>
    <pivotField showAll="0"/>
    <pivotField numFmtId="9" showAll="0"/>
    <pivotField showAll="0"/>
  </pivotFields>
  <rowFields count="1">
    <field x="5"/>
  </rowFields>
  <rowItems count="4">
    <i>
      <x/>
    </i>
    <i>
      <x v="1"/>
    </i>
    <i>
      <x v="2"/>
    </i>
    <i t="grand">
      <x/>
    </i>
  </rowItems>
  <colItems count="1">
    <i/>
  </colItems>
  <dataFields count="1">
    <dataField name="Sum of Sales" fld="8" baseField="0" baseItem="0" numFmtId="164"/>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E28F75-630B-A54E-A57B-0C0755243A1E}"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2:B69" firstHeaderRow="1" firstDataRow="1" firstDataCol="1"/>
  <pivotFields count="19">
    <pivotField showAll="0"/>
    <pivotField showAll="0"/>
    <pivotField showAll="0"/>
    <pivotField showAll="0"/>
    <pivotField axis="axisRow" showAll="0">
      <items count="17">
        <item x="15"/>
        <item x="14"/>
        <item x="10"/>
        <item x="11"/>
        <item x="1"/>
        <item x="8"/>
        <item x="0"/>
        <item x="9"/>
        <item x="5"/>
        <item x="12"/>
        <item x="3"/>
        <item x="2"/>
        <item x="4"/>
        <item x="7"/>
        <item x="6"/>
        <item x="13"/>
        <item t="default"/>
      </items>
    </pivotField>
    <pivotField showAll="0"/>
    <pivotField showAll="0"/>
    <pivotField showAll="0"/>
    <pivotField dataField="1" numFmtId="164" showAll="0"/>
    <pivotField showAll="0"/>
    <pivotField numFmtId="9" showAll="0"/>
    <pivotField numFmtId="164" showAll="0"/>
    <pivotField showAll="0"/>
    <pivotField showAll="0"/>
    <pivotField showAll="0"/>
    <pivotField showAll="0"/>
    <pivotField showAll="0"/>
    <pivotField numFmtId="9" showAll="0"/>
    <pivotField showAll="0"/>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Sum of Sales" fld="8" baseField="0" baseItem="0" numFmtId="164"/>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F0860C-79E3-D34E-BD74-8331AAF25315}" name="PivotTable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14:D125" firstHeaderRow="0" firstDataRow="1" firstDataCol="1"/>
  <pivotFields count="19">
    <pivotField showAll="0"/>
    <pivotField showAll="0"/>
    <pivotField showAll="0"/>
    <pivotField showAll="0">
      <items count="5">
        <item x="3"/>
        <item x="2"/>
        <item x="0"/>
        <item x="1"/>
        <item t="default"/>
      </items>
    </pivotField>
    <pivotField showAll="0"/>
    <pivotField showAll="0">
      <items count="4">
        <item x="1"/>
        <item x="0"/>
        <item x="2"/>
        <item t="default"/>
      </items>
    </pivotField>
    <pivotField showAll="0"/>
    <pivotField showAll="0"/>
    <pivotField dataField="1" numFmtId="164" showAll="0"/>
    <pivotField showAll="0"/>
    <pivotField numFmtId="9" showAll="0"/>
    <pivotField dataField="1" numFmtId="164" showAll="0"/>
    <pivotField axis="axisRow" showAll="0">
      <items count="11">
        <item x="0"/>
        <item x="7"/>
        <item x="4"/>
        <item x="8"/>
        <item x="3"/>
        <item x="2"/>
        <item x="5"/>
        <item x="6"/>
        <item x="9"/>
        <item x="1"/>
        <item t="default"/>
      </items>
    </pivotField>
    <pivotField showAll="0">
      <items count="5">
        <item x="1"/>
        <item x="3"/>
        <item x="0"/>
        <item x="2"/>
        <item t="default"/>
      </items>
    </pivotField>
    <pivotField showAll="0">
      <items count="3">
        <item x="1"/>
        <item x="0"/>
        <item t="default"/>
      </items>
    </pivotField>
    <pivotField showAll="0">
      <items count="13">
        <item x="0"/>
        <item x="1"/>
        <item x="3"/>
        <item x="8"/>
        <item x="7"/>
        <item x="9"/>
        <item x="6"/>
        <item x="11"/>
        <item x="5"/>
        <item x="2"/>
        <item x="10"/>
        <item x="4"/>
        <item t="default"/>
      </items>
    </pivotField>
    <pivotField showAll="0"/>
    <pivotField dataField="1" numFmtId="9" showAll="0"/>
    <pivotField showAll="0">
      <items count="5">
        <item x="1"/>
        <item x="2"/>
        <item x="3"/>
        <item x="0"/>
        <item t="default"/>
      </items>
    </pivotField>
  </pivotFields>
  <rowFields count="1">
    <field x="12"/>
  </rowFields>
  <rowItems count="11">
    <i>
      <x/>
    </i>
    <i>
      <x v="1"/>
    </i>
    <i>
      <x v="2"/>
    </i>
    <i>
      <x v="3"/>
    </i>
    <i>
      <x v="4"/>
    </i>
    <i>
      <x v="5"/>
    </i>
    <i>
      <x v="6"/>
    </i>
    <i>
      <x v="7"/>
    </i>
    <i>
      <x v="8"/>
    </i>
    <i>
      <x v="9"/>
    </i>
    <i t="grand">
      <x/>
    </i>
  </rowItems>
  <colFields count="1">
    <field x="-2"/>
  </colFields>
  <colItems count="3">
    <i>
      <x/>
    </i>
    <i i="1">
      <x v="1"/>
    </i>
    <i i="2">
      <x v="2"/>
    </i>
  </colItems>
  <dataFields count="3">
    <dataField name="Sum of Profit" fld="11" baseField="0" baseItem="0" numFmtId="164"/>
    <dataField name="Sum of Sales" fld="8" baseField="0" baseItem="0" numFmtId="164"/>
    <dataField name="Average of Profit Margin %" fld="17" subtotal="average" baseField="0" baseItem="0" numFmtId="9"/>
  </dataFields>
  <chartFormats count="9">
    <chartFormat chart="0" format="0" series="1">
      <pivotArea type="data" outline="0" fieldPosition="0">
        <references count="1">
          <reference field="4294967294" count="1" selected="0">
            <x v="2"/>
          </reference>
        </references>
      </pivotArea>
    </chartFormat>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pivotArea type="data" outline="0" fieldPosition="0">
        <references count="2">
          <reference field="4294967294" count="1" selected="0">
            <x v="0"/>
          </reference>
          <reference field="12" count="1" selected="0">
            <x v="9"/>
          </reference>
        </references>
      </pivotArea>
    </chartFormat>
    <chartFormat chart="0" format="4">
      <pivotArea type="data" outline="0" fieldPosition="0">
        <references count="2">
          <reference field="4294967294" count="1" selected="0">
            <x v="1"/>
          </reference>
          <reference field="12" count="1" selected="0">
            <x v="9"/>
          </reference>
        </references>
      </pivotArea>
    </chartFormat>
    <chartFormat chart="0" format="5">
      <pivotArea type="data" outline="0" fieldPosition="0">
        <references count="2">
          <reference field="4294967294" count="1" selected="0">
            <x v="2"/>
          </reference>
          <reference field="12" count="1" selected="0">
            <x v="9"/>
          </reference>
        </references>
      </pivotArea>
    </chartFormat>
    <chartFormat chart="13" format="9"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1"/>
          </reference>
        </references>
      </pivotArea>
    </chartFormat>
    <chartFormat chart="13"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EB874C-390F-914F-851D-E2585CA7232E}"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4:C49" firstHeaderRow="0" firstDataRow="1" firstDataCol="1"/>
  <pivotFields count="19">
    <pivotField showAll="0"/>
    <pivotField showAll="0"/>
    <pivotField showAll="0"/>
    <pivotField axis="axisRow" showAll="0">
      <items count="5">
        <item x="3"/>
        <item x="2"/>
        <item x="0"/>
        <item x="1"/>
        <item t="default"/>
      </items>
    </pivotField>
    <pivotField showAll="0"/>
    <pivotField showAll="0"/>
    <pivotField showAll="0"/>
    <pivotField showAll="0"/>
    <pivotField dataField="1" numFmtId="164" showAll="0"/>
    <pivotField showAll="0"/>
    <pivotField numFmtId="9" showAll="0"/>
    <pivotField dataField="1" numFmtId="164" showAll="0"/>
    <pivotField showAll="0"/>
    <pivotField showAll="0"/>
    <pivotField showAll="0"/>
    <pivotField showAll="0"/>
    <pivotField showAll="0"/>
    <pivotField numFmtId="9" showAll="0"/>
    <pivotField showAll="0"/>
  </pivotFields>
  <rowFields count="1">
    <field x="3"/>
  </rowFields>
  <rowItems count="5">
    <i>
      <x/>
    </i>
    <i>
      <x v="1"/>
    </i>
    <i>
      <x v="2"/>
    </i>
    <i>
      <x v="3"/>
    </i>
    <i t="grand">
      <x/>
    </i>
  </rowItems>
  <colFields count="1">
    <field x="-2"/>
  </colFields>
  <colItems count="2">
    <i>
      <x/>
    </i>
    <i i="1">
      <x v="1"/>
    </i>
  </colItems>
  <dataFields count="2">
    <dataField name="Sum of Profit" fld="11" baseField="0" baseItem="0" numFmtId="164"/>
    <dataField name="Sum of Sales" fld="8"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89FFDD-2CAA-394F-B673-3F48FAB4FEBD}"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0:B111" firstHeaderRow="1" firstDataRow="1" firstDataCol="1"/>
  <pivotFields count="19">
    <pivotField showAll="0"/>
    <pivotField showAll="0"/>
    <pivotField showAll="0"/>
    <pivotField showAll="0"/>
    <pivotField showAll="0"/>
    <pivotField showAll="0"/>
    <pivotField showAll="0"/>
    <pivotField axis="axisRow" showAll="0" measureFilter="1">
      <items count="28">
        <item x="11"/>
        <item x="24"/>
        <item x="7"/>
        <item x="9"/>
        <item x="17"/>
        <item x="23"/>
        <item x="10"/>
        <item x="0"/>
        <item x="15"/>
        <item x="25"/>
        <item x="4"/>
        <item x="13"/>
        <item x="1"/>
        <item x="12"/>
        <item x="6"/>
        <item x="19"/>
        <item x="26"/>
        <item x="18"/>
        <item x="2"/>
        <item x="14"/>
        <item x="3"/>
        <item x="22"/>
        <item x="8"/>
        <item x="21"/>
        <item x="16"/>
        <item x="5"/>
        <item x="20"/>
        <item t="default"/>
      </items>
    </pivotField>
    <pivotField dataField="1" numFmtId="164" showAll="0"/>
    <pivotField showAll="0"/>
    <pivotField numFmtId="9" showAll="0"/>
    <pivotField numFmtId="164" showAll="0"/>
    <pivotField showAll="0"/>
    <pivotField showAll="0"/>
    <pivotField showAll="0"/>
    <pivotField showAll="0"/>
    <pivotField showAll="0"/>
    <pivotField numFmtId="9" showAll="0"/>
    <pivotField showAll="0"/>
  </pivotFields>
  <rowFields count="1">
    <field x="7"/>
  </rowFields>
  <rowItems count="11">
    <i>
      <x/>
    </i>
    <i>
      <x v="4"/>
    </i>
    <i>
      <x v="7"/>
    </i>
    <i>
      <x v="9"/>
    </i>
    <i>
      <x v="10"/>
    </i>
    <i>
      <x v="11"/>
    </i>
    <i>
      <x v="13"/>
    </i>
    <i>
      <x v="16"/>
    </i>
    <i>
      <x v="19"/>
    </i>
    <i>
      <x v="22"/>
    </i>
    <i t="grand">
      <x/>
    </i>
  </rowItems>
  <colItems count="1">
    <i/>
  </colItems>
  <dataFields count="1">
    <dataField name="Sum of Sales" fld="8"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3D0761-DFB0-EC46-AB92-77470B13C2AC}" name="PivotTable20"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19">
    <pivotField showAll="0"/>
    <pivotField showAll="0"/>
    <pivotField showAll="0"/>
    <pivotField showAll="0"/>
    <pivotField showAll="0"/>
    <pivotField showAll="0"/>
    <pivotField showAll="0"/>
    <pivotField showAll="0"/>
    <pivotField dataField="1" numFmtId="164" showAll="0"/>
    <pivotField showAll="0"/>
    <pivotField numFmtId="9" showAll="0"/>
    <pivotField numFmtId="164" showAll="0"/>
    <pivotField showAll="0"/>
    <pivotField showAll="0"/>
    <pivotField showAll="0"/>
    <pivotField axis="axisRow" showAll="0">
      <items count="13">
        <item x="0"/>
        <item x="1"/>
        <item x="3"/>
        <item x="8"/>
        <item x="7"/>
        <item x="9"/>
        <item x="6"/>
        <item x="11"/>
        <item x="5"/>
        <item x="2"/>
        <item x="10"/>
        <item x="4"/>
        <item t="default"/>
      </items>
    </pivotField>
    <pivotField showAll="0"/>
    <pivotField numFmtId="9" showAll="0"/>
    <pivotField showAll="0"/>
  </pivotFields>
  <rowFields count="1">
    <field x="15"/>
  </rowFields>
  <rowItems count="13">
    <i>
      <x/>
    </i>
    <i>
      <x v="1"/>
    </i>
    <i>
      <x v="2"/>
    </i>
    <i>
      <x v="3"/>
    </i>
    <i>
      <x v="4"/>
    </i>
    <i>
      <x v="5"/>
    </i>
    <i>
      <x v="6"/>
    </i>
    <i>
      <x v="7"/>
    </i>
    <i>
      <x v="8"/>
    </i>
    <i>
      <x v="9"/>
    </i>
    <i>
      <x v="10"/>
    </i>
    <i>
      <x v="11"/>
    </i>
    <i t="grand">
      <x/>
    </i>
  </rowItems>
  <colItems count="1">
    <i/>
  </colItems>
  <dataFields count="1">
    <dataField name="Sum of Sales" fld="8" baseField="0" baseItem="0" numFmtId="164"/>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F52587-C3F6-0C4E-BF5A-150E1A1302CE}"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7:B97" firstHeaderRow="1" firstDataRow="1" firstDataCol="1"/>
  <pivotFields count="19">
    <pivotField showAll="0"/>
    <pivotField showAll="0"/>
    <pivotField showAll="0"/>
    <pivotField showAll="0"/>
    <pivotField showAll="0"/>
    <pivotField showAll="0"/>
    <pivotField axis="axisRow" showAll="0">
      <items count="10">
        <item x="8"/>
        <item x="0"/>
        <item x="3"/>
        <item x="4"/>
        <item x="2"/>
        <item x="6"/>
        <item x="5"/>
        <item x="7"/>
        <item x="1"/>
        <item t="default"/>
      </items>
    </pivotField>
    <pivotField showAll="0"/>
    <pivotField numFmtId="164" showAll="0"/>
    <pivotField showAll="0"/>
    <pivotField numFmtId="9" showAll="0"/>
    <pivotField dataField="1" numFmtId="164" showAll="0"/>
    <pivotField showAll="0"/>
    <pivotField showAll="0"/>
    <pivotField showAll="0"/>
    <pivotField showAll="0"/>
    <pivotField showAll="0"/>
    <pivotField numFmtId="9" showAll="0"/>
    <pivotField showAll="0"/>
  </pivotFields>
  <rowFields count="1">
    <field x="6"/>
  </rowFields>
  <rowItems count="10">
    <i>
      <x/>
    </i>
    <i>
      <x v="1"/>
    </i>
    <i>
      <x v="2"/>
    </i>
    <i>
      <x v="3"/>
    </i>
    <i>
      <x v="4"/>
    </i>
    <i>
      <x v="5"/>
    </i>
    <i>
      <x v="6"/>
    </i>
    <i>
      <x v="7"/>
    </i>
    <i>
      <x v="8"/>
    </i>
    <i t="grand">
      <x/>
    </i>
  </rowItems>
  <colItems count="1">
    <i/>
  </colItems>
  <dataFields count="1">
    <dataField name="Sum of Profit" fld="11" baseField="0" baseItem="0" numFmtId="164"/>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93299E-A6C8-1449-863E-9EBDE2EFEE2D}" name="PivotTable1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5:C162" firstHeaderRow="1" firstDataRow="1" firstDataCol="0"/>
  <pivotFields count="19">
    <pivotField showAll="0"/>
    <pivotField showAll="0"/>
    <pivotField showAll="0"/>
    <pivotField showAll="0"/>
    <pivotField showAll="0"/>
    <pivotField showAll="0"/>
    <pivotField showAll="0"/>
    <pivotField showAll="0"/>
    <pivotField numFmtId="164" showAll="0"/>
    <pivotField showAll="0"/>
    <pivotField numFmtId="9" showAll="0">
      <items count="8">
        <item x="0"/>
        <item x="6"/>
        <item x="3"/>
        <item x="5"/>
        <item x="4"/>
        <item x="1"/>
        <item x="2"/>
        <item t="default"/>
      </items>
    </pivotField>
    <pivotField numFmtId="164" showAll="0">
      <items count="996">
        <item x="569"/>
        <item x="714"/>
        <item x="354"/>
        <item x="860"/>
        <item x="335"/>
        <item x="15"/>
        <item x="691"/>
        <item x="828"/>
        <item x="595"/>
        <item x="732"/>
        <item x="186"/>
        <item x="719"/>
        <item x="185"/>
        <item x="204"/>
        <item x="327"/>
        <item x="196"/>
        <item x="618"/>
        <item x="512"/>
        <item x="281"/>
        <item x="818"/>
        <item x="604"/>
        <item x="372"/>
        <item x="861"/>
        <item x="658"/>
        <item x="758"/>
        <item x="16"/>
        <item x="940"/>
        <item x="554"/>
        <item x="621"/>
        <item x="86"/>
        <item x="286"/>
        <item x="360"/>
        <item x="13"/>
        <item x="878"/>
        <item x="351"/>
        <item x="373"/>
        <item x="862"/>
        <item x="101"/>
        <item x="882"/>
        <item x="659"/>
        <item x="623"/>
        <item x="7"/>
        <item x="179"/>
        <item x="917"/>
        <item x="248"/>
        <item x="768"/>
        <item x="38"/>
        <item x="874"/>
        <item x="53"/>
        <item x="225"/>
        <item x="905"/>
        <item x="788"/>
        <item x="535"/>
        <item x="52"/>
        <item x="802"/>
        <item x="475"/>
        <item x="129"/>
        <item x="6"/>
        <item x="895"/>
        <item x="494"/>
        <item x="344"/>
        <item x="62"/>
        <item x="485"/>
        <item x="130"/>
        <item x="391"/>
        <item x="108"/>
        <item x="757"/>
        <item x="632"/>
        <item x="654"/>
        <item x="603"/>
        <item x="800"/>
        <item x="31"/>
        <item x="233"/>
        <item x="530"/>
        <item x="617"/>
        <item x="918"/>
        <item x="508"/>
        <item x="217"/>
        <item x="392"/>
        <item x="589"/>
        <item x="165"/>
        <item x="979"/>
        <item x="559"/>
        <item x="965"/>
        <item x="541"/>
        <item x="811"/>
        <item x="19"/>
        <item x="284"/>
        <item x="57"/>
        <item x="385"/>
        <item x="961"/>
        <item x="627"/>
        <item x="134"/>
        <item x="637"/>
        <item x="339"/>
        <item x="46"/>
        <item x="525"/>
        <item x="641"/>
        <item x="869"/>
        <item x="148"/>
        <item x="406"/>
        <item x="175"/>
        <item x="122"/>
        <item x="516"/>
        <item x="970"/>
        <item x="282"/>
        <item x="310"/>
        <item x="438"/>
        <item x="666"/>
        <item x="934"/>
        <item x="715"/>
        <item x="198"/>
        <item x="177"/>
        <item x="330"/>
        <item x="665"/>
        <item x="536"/>
        <item x="366"/>
        <item x="68"/>
        <item x="563"/>
        <item x="889"/>
        <item x="937"/>
        <item x="326"/>
        <item x="215"/>
        <item x="174"/>
        <item x="724"/>
        <item x="698"/>
        <item x="806"/>
        <item x="491"/>
        <item x="280"/>
        <item x="161"/>
        <item x="176"/>
        <item x="694"/>
        <item x="689"/>
        <item x="1"/>
        <item x="582"/>
        <item x="290"/>
        <item x="831"/>
        <item x="401"/>
        <item x="859"/>
        <item x="517"/>
        <item x="412"/>
        <item x="291"/>
        <item x="929"/>
        <item x="674"/>
        <item x="451"/>
        <item x="170"/>
        <item x="272"/>
        <item x="302"/>
        <item x="90"/>
        <item x="30"/>
        <item x="353"/>
        <item x="370"/>
        <item x="946"/>
        <item x="455"/>
        <item x="261"/>
        <item x="85"/>
        <item x="3"/>
        <item x="500"/>
        <item x="680"/>
        <item x="269"/>
        <item x="585"/>
        <item x="871"/>
        <item x="103"/>
        <item x="356"/>
        <item x="645"/>
        <item x="246"/>
        <item x="472"/>
        <item x="609"/>
        <item x="303"/>
        <item x="54"/>
        <item x="832"/>
        <item x="195"/>
        <item x="613"/>
        <item x="324"/>
        <item x="93"/>
        <item x="236"/>
        <item x="142"/>
        <item x="819"/>
        <item x="146"/>
        <item x="546"/>
        <item x="187"/>
        <item x="141"/>
        <item x="514"/>
        <item x="486"/>
        <item x="892"/>
        <item x="740"/>
        <item x="989"/>
        <item x="74"/>
        <item x="709"/>
        <item x="474"/>
        <item x="128"/>
        <item x="686"/>
        <item x="969"/>
        <item x="445"/>
        <item x="359"/>
        <item x="538"/>
        <item x="615"/>
        <item x="524"/>
        <item x="893"/>
        <item x="549"/>
        <item x="884"/>
        <item x="815"/>
        <item x="383"/>
        <item x="202"/>
        <item x="410"/>
        <item x="751"/>
        <item x="293"/>
        <item x="283"/>
        <item x="968"/>
        <item x="920"/>
        <item x="405"/>
        <item x="22"/>
        <item x="473"/>
        <item x="369"/>
        <item x="407"/>
        <item x="69"/>
        <item x="769"/>
        <item x="264"/>
        <item x="610"/>
        <item x="136"/>
        <item x="573"/>
        <item x="787"/>
        <item x="8"/>
        <item x="964"/>
        <item x="742"/>
        <item x="465"/>
        <item x="574"/>
        <item x="693"/>
        <item x="509"/>
        <item x="506"/>
        <item x="299"/>
        <item x="796"/>
        <item x="295"/>
        <item x="873"/>
        <item x="837"/>
        <item x="432"/>
        <item x="925"/>
        <item x="76"/>
        <item x="505"/>
        <item x="594"/>
        <item x="592"/>
        <item x="345"/>
        <item x="212"/>
        <item x="301"/>
        <item x="619"/>
        <item x="877"/>
        <item x="911"/>
        <item x="676"/>
        <item x="234"/>
        <item x="820"/>
        <item x="764"/>
        <item x="799"/>
        <item x="706"/>
        <item x="501"/>
        <item x="600"/>
        <item x="207"/>
        <item x="289"/>
        <item x="899"/>
        <item x="931"/>
        <item x="328"/>
        <item x="790"/>
        <item x="484"/>
        <item x="44"/>
        <item x="975"/>
        <item x="408"/>
        <item x="851"/>
        <item x="107"/>
        <item x="597"/>
        <item x="368"/>
        <item x="846"/>
        <item x="437"/>
        <item x="325"/>
        <item x="602"/>
        <item x="158"/>
        <item x="948"/>
        <item x="453"/>
        <item x="271"/>
        <item x="850"/>
        <item x="388"/>
        <item x="701"/>
        <item x="149"/>
        <item x="431"/>
        <item x="49"/>
        <item x="919"/>
        <item x="817"/>
        <item x="843"/>
        <item x="583"/>
        <item x="922"/>
        <item x="798"/>
        <item x="239"/>
        <item x="776"/>
        <item x="907"/>
        <item x="879"/>
        <item x="539"/>
        <item x="205"/>
        <item x="612"/>
        <item x="319"/>
        <item x="578"/>
        <item x="50"/>
        <item x="835"/>
        <item x="329"/>
        <item x="938"/>
        <item x="77"/>
        <item x="865"/>
        <item x="761"/>
        <item x="746"/>
        <item x="40"/>
        <item x="59"/>
        <item x="181"/>
        <item x="163"/>
        <item x="935"/>
        <item x="933"/>
        <item x="72"/>
        <item x="723"/>
        <item x="265"/>
        <item x="371"/>
        <item x="92"/>
        <item x="255"/>
        <item x="883"/>
        <item x="144"/>
        <item x="361"/>
        <item x="737"/>
        <item x="56"/>
        <item x="872"/>
        <item x="855"/>
        <item x="579"/>
        <item x="598"/>
        <item x="419"/>
        <item x="64"/>
        <item x="244"/>
        <item x="416"/>
        <item x="720"/>
        <item x="739"/>
        <item x="118"/>
        <item x="545"/>
        <item x="137"/>
        <item x="950"/>
        <item x="357"/>
        <item x="67"/>
        <item x="300"/>
        <item x="890"/>
        <item x="429"/>
        <item x="738"/>
        <item x="624"/>
        <item x="972"/>
        <item x="553"/>
        <item x="789"/>
        <item x="194"/>
        <item x="169"/>
        <item x="699"/>
        <item x="216"/>
        <item x="664"/>
        <item x="730"/>
        <item x="663"/>
        <item x="338"/>
        <item x="493"/>
        <item x="669"/>
        <item x="814"/>
        <item x="423"/>
        <item x="305"/>
        <item x="461"/>
        <item x="544"/>
        <item x="983"/>
        <item x="713"/>
        <item x="296"/>
        <item x="367"/>
        <item x="476"/>
        <item x="497"/>
        <item x="294"/>
        <item x="700"/>
        <item x="471"/>
        <item x="829"/>
        <item x="980"/>
        <item x="139"/>
        <item x="605"/>
        <item x="333"/>
        <item x="560"/>
        <item x="971"/>
        <item x="60"/>
        <item x="930"/>
        <item x="21"/>
        <item x="440"/>
        <item x="527"/>
        <item x="94"/>
        <item x="810"/>
        <item x="58"/>
        <item x="906"/>
        <item x="867"/>
        <item x="644"/>
        <item x="88"/>
        <item x="620"/>
        <item x="767"/>
        <item x="80"/>
        <item x="232"/>
        <item x="833"/>
        <item x="949"/>
        <item x="913"/>
        <item x="915"/>
        <item x="288"/>
        <item x="36"/>
        <item x="413"/>
        <item x="203"/>
        <item x="827"/>
        <item x="42"/>
        <item x="633"/>
        <item x="841"/>
        <item x="352"/>
        <item x="358"/>
        <item x="902"/>
        <item x="511"/>
        <item x="468"/>
        <item x="781"/>
        <item x="197"/>
        <item x="348"/>
        <item x="735"/>
        <item x="211"/>
        <item x="716"/>
        <item x="750"/>
        <item x="428"/>
        <item x="150"/>
        <item x="257"/>
        <item x="967"/>
        <item x="652"/>
        <item x="347"/>
        <item x="974"/>
        <item x="599"/>
        <item x="454"/>
        <item x="382"/>
        <item x="755"/>
        <item x="394"/>
        <item x="109"/>
        <item x="481"/>
        <item x="213"/>
        <item x="660"/>
        <item x="259"/>
        <item x="124"/>
        <item x="127"/>
        <item x="73"/>
        <item x="221"/>
        <item x="321"/>
        <item x="466"/>
        <item x="231"/>
        <item x="274"/>
        <item x="548"/>
        <item x="534"/>
        <item x="960"/>
        <item x="159"/>
        <item x="543"/>
        <item x="887"/>
        <item x="240"/>
        <item x="496"/>
        <item x="852"/>
        <item x="607"/>
        <item x="667"/>
        <item x="556"/>
        <item x="96"/>
        <item x="245"/>
        <item x="809"/>
        <item x="901"/>
        <item x="590"/>
        <item x="98"/>
        <item x="184"/>
        <item x="223"/>
        <item x="868"/>
        <item x="973"/>
        <item x="864"/>
        <item x="106"/>
        <item x="11"/>
        <item x="91"/>
        <item x="343"/>
        <item x="487"/>
        <item x="900"/>
        <item x="981"/>
        <item x="639"/>
        <item x="317"/>
        <item x="415"/>
        <item x="37"/>
        <item x="780"/>
        <item x="601"/>
        <item x="565"/>
        <item x="736"/>
        <item x="866"/>
        <item x="898"/>
        <item x="963"/>
        <item x="43"/>
        <item x="984"/>
        <item x="921"/>
        <item x="502"/>
        <item x="97"/>
        <item x="458"/>
        <item x="477"/>
        <item x="673"/>
        <item x="206"/>
        <item x="32"/>
        <item x="9"/>
        <item x="722"/>
        <item x="695"/>
        <item x="237"/>
        <item x="518"/>
        <item x="35"/>
        <item x="687"/>
        <item x="752"/>
        <item x="114"/>
        <item x="133"/>
        <item x="945"/>
        <item x="24"/>
        <item x="575"/>
        <item x="521"/>
        <item x="311"/>
        <item x="51"/>
        <item x="337"/>
        <item x="102"/>
        <item x="112"/>
        <item x="399"/>
        <item x="374"/>
        <item x="463"/>
        <item x="584"/>
        <item x="771"/>
        <item x="307"/>
        <item x="685"/>
        <item x="943"/>
        <item x="340"/>
        <item x="662"/>
        <item x="10"/>
        <item x="342"/>
        <item x="426"/>
        <item x="262"/>
        <item x="308"/>
        <item x="785"/>
        <item x="886"/>
        <item x="229"/>
        <item x="132"/>
        <item x="704"/>
        <item x="200"/>
        <item x="126"/>
        <item x="567"/>
        <item x="577"/>
        <item x="285"/>
        <item x="442"/>
        <item x="936"/>
        <item x="125"/>
        <item x="741"/>
        <item x="839"/>
        <item x="224"/>
        <item x="690"/>
        <item x="226"/>
        <item x="743"/>
        <item x="705"/>
        <item x="99"/>
        <item x="17"/>
        <item x="954"/>
        <item x="228"/>
        <item x="955"/>
        <item x="533"/>
        <item x="153"/>
        <item x="966"/>
        <item x="492"/>
        <item x="75"/>
        <item x="816"/>
        <item x="733"/>
        <item x="45"/>
        <item x="66"/>
        <item x="362"/>
        <item x="167"/>
        <item x="643"/>
        <item x="593"/>
        <item x="28"/>
        <item x="651"/>
        <item x="499"/>
        <item x="27"/>
        <item x="379"/>
        <item x="558"/>
        <item x="675"/>
        <item x="638"/>
        <item x="314"/>
        <item x="939"/>
        <item x="121"/>
        <item x="656"/>
        <item x="349"/>
        <item x="822"/>
        <item x="48"/>
        <item x="26"/>
        <item x="904"/>
        <item x="393"/>
        <item x="147"/>
        <item x="315"/>
        <item x="346"/>
        <item x="763"/>
        <item x="418"/>
        <item x="529"/>
        <item x="402"/>
        <item x="241"/>
        <item x="235"/>
        <item x="490"/>
        <item x="571"/>
        <item x="482"/>
        <item x="959"/>
        <item x="71"/>
        <item x="848"/>
        <item x="909"/>
        <item x="894"/>
        <item x="531"/>
        <item x="104"/>
        <item x="243"/>
        <item x="116"/>
        <item x="273"/>
        <item x="313"/>
        <item x="976"/>
        <item x="854"/>
        <item x="688"/>
        <item x="587"/>
        <item x="845"/>
        <item x="435"/>
        <item x="444"/>
        <item x="726"/>
        <item x="386"/>
        <item x="982"/>
        <item x="441"/>
        <item x="29"/>
        <item x="384"/>
        <item x="411"/>
        <item x="834"/>
        <item x="870"/>
        <item x="375"/>
        <item x="266"/>
        <item x="520"/>
        <item x="95"/>
        <item x="464"/>
        <item x="951"/>
        <item x="682"/>
        <item x="320"/>
        <item x="932"/>
        <item x="214"/>
        <item x="840"/>
        <item x="747"/>
        <item x="876"/>
        <item x="2"/>
        <item x="622"/>
        <item x="503"/>
        <item x="199"/>
        <item x="450"/>
        <item x="478"/>
        <item x="89"/>
        <item x="110"/>
        <item x="470"/>
        <item x="270"/>
        <item x="172"/>
        <item x="725"/>
        <item x="457"/>
        <item x="576"/>
        <item x="483"/>
        <item x="926"/>
        <item x="681"/>
        <item x="404"/>
        <item x="331"/>
        <item x="18"/>
        <item x="191"/>
        <item x="793"/>
        <item x="847"/>
        <item x="390"/>
        <item x="4"/>
        <item x="433"/>
        <item x="34"/>
        <item x="0"/>
        <item x="33"/>
        <item x="671"/>
        <item x="227"/>
        <item x="495"/>
        <item x="123"/>
        <item x="309"/>
        <item x="986"/>
        <item x="381"/>
        <item x="47"/>
        <item x="252"/>
        <item x="625"/>
        <item x="759"/>
        <item x="156"/>
        <item x="805"/>
        <item x="424"/>
        <item x="596"/>
        <item x="350"/>
        <item x="990"/>
        <item x="542"/>
        <item x="87"/>
        <item x="770"/>
        <item x="910"/>
        <item x="522"/>
        <item x="105"/>
        <item x="488"/>
        <item x="409"/>
        <item x="436"/>
        <item x="117"/>
        <item x="614"/>
        <item x="880"/>
        <item x="753"/>
        <item x="784"/>
        <item x="635"/>
        <item x="914"/>
        <item x="25"/>
        <item x="772"/>
        <item x="277"/>
        <item x="648"/>
        <item x="209"/>
        <item x="588"/>
        <item x="397"/>
        <item x="278"/>
        <item x="452"/>
        <item x="707"/>
        <item x="532"/>
        <item x="978"/>
        <item x="138"/>
        <item x="258"/>
        <item x="489"/>
        <item x="183"/>
        <item x="263"/>
        <item x="63"/>
        <item x="779"/>
        <item x="923"/>
        <item x="773"/>
        <item x="162"/>
        <item x="70"/>
        <item x="378"/>
        <item x="355"/>
        <item x="218"/>
        <item x="230"/>
        <item x="312"/>
        <item x="792"/>
        <item x="586"/>
        <item x="446"/>
        <item x="928"/>
        <item x="655"/>
        <item x="318"/>
        <item x="84"/>
        <item x="365"/>
        <item x="135"/>
        <item x="903"/>
        <item x="804"/>
        <item x="79"/>
        <item x="881"/>
        <item x="953"/>
        <item x="941"/>
        <item x="684"/>
        <item x="119"/>
        <item x="581"/>
        <item x="287"/>
        <item x="168"/>
        <item x="268"/>
        <item x="782"/>
        <item x="140"/>
        <item x="417"/>
        <item x="823"/>
        <item x="260"/>
        <item x="856"/>
        <item x="807"/>
        <item x="564"/>
        <item x="421"/>
        <item x="456"/>
        <item x="389"/>
        <item x="219"/>
        <item x="993"/>
        <item x="155"/>
        <item x="744"/>
        <item x="188"/>
        <item x="189"/>
        <item x="515"/>
        <item x="443"/>
        <item x="166"/>
        <item x="958"/>
        <item x="498"/>
        <item x="956"/>
        <item x="152"/>
        <item x="249"/>
        <item x="683"/>
        <item x="145"/>
        <item x="572"/>
        <item x="944"/>
        <item x="523"/>
        <item x="697"/>
        <item x="5"/>
        <item x="65"/>
        <item x="120"/>
        <item x="528"/>
        <item x="947"/>
        <item x="728"/>
        <item x="562"/>
        <item x="297"/>
        <item x="821"/>
        <item x="425"/>
        <item x="703"/>
        <item x="398"/>
        <item x="853"/>
        <item x="568"/>
        <item x="774"/>
        <item x="591"/>
        <item x="192"/>
        <item x="256"/>
        <item x="630"/>
        <item x="857"/>
        <item x="924"/>
        <item x="616"/>
        <item x="279"/>
        <item x="858"/>
        <item x="400"/>
        <item x="363"/>
        <item x="842"/>
        <item x="896"/>
        <item x="298"/>
        <item x="825"/>
        <item x="222"/>
        <item x="626"/>
        <item x="250"/>
        <item x="745"/>
        <item x="427"/>
        <item x="640"/>
        <item x="113"/>
        <item x="766"/>
        <item x="208"/>
        <item x="78"/>
        <item x="988"/>
        <item x="242"/>
        <item x="210"/>
        <item x="336"/>
        <item x="81"/>
        <item x="778"/>
        <item x="808"/>
        <item x="991"/>
        <item x="364"/>
        <item x="39"/>
        <item x="322"/>
        <item x="754"/>
        <item x="885"/>
        <item x="555"/>
        <item x="178"/>
        <item x="795"/>
        <item x="631"/>
        <item x="987"/>
        <item x="661"/>
        <item x="863"/>
        <item x="677"/>
        <item x="957"/>
        <item x="462"/>
        <item x="628"/>
        <item x="580"/>
        <item x="838"/>
        <item x="180"/>
        <item x="712"/>
        <item x="888"/>
        <item x="414"/>
        <item x="908"/>
        <item x="551"/>
        <item x="55"/>
        <item x="711"/>
        <item x="813"/>
        <item x="608"/>
        <item x="238"/>
        <item x="403"/>
        <item x="540"/>
        <item x="323"/>
        <item x="927"/>
        <item x="460"/>
        <item x="396"/>
        <item x="459"/>
        <item x="387"/>
        <item x="912"/>
        <item x="692"/>
        <item x="519"/>
        <item x="479"/>
        <item x="513"/>
        <item x="561"/>
        <item x="670"/>
        <item x="304"/>
        <item x="916"/>
        <item x="992"/>
        <item x="143"/>
        <item x="760"/>
        <item x="570"/>
        <item x="653"/>
        <item x="552"/>
        <item x="696"/>
        <item x="710"/>
        <item x="254"/>
        <item x="430"/>
        <item x="762"/>
        <item x="786"/>
        <item x="849"/>
        <item x="332"/>
        <item x="160"/>
        <item x="797"/>
        <item x="251"/>
        <item x="826"/>
        <item x="891"/>
        <item x="783"/>
        <item x="777"/>
        <item x="193"/>
        <item x="395"/>
        <item x="748"/>
        <item x="977"/>
        <item x="708"/>
        <item x="765"/>
        <item x="449"/>
        <item x="952"/>
        <item x="749"/>
        <item x="678"/>
        <item x="439"/>
        <item x="504"/>
        <item x="537"/>
        <item x="182"/>
        <item x="448"/>
        <item x="962"/>
        <item x="111"/>
        <item x="376"/>
        <item x="727"/>
        <item x="775"/>
        <item x="566"/>
        <item x="23"/>
        <item x="20"/>
        <item x="61"/>
        <item x="994"/>
        <item x="897"/>
        <item x="791"/>
        <item x="642"/>
        <item x="12"/>
        <item x="14"/>
        <item x="469"/>
        <item x="164"/>
        <item x="824"/>
        <item x="292"/>
        <item x="420"/>
        <item x="115"/>
        <item x="734"/>
        <item x="190"/>
        <item x="650"/>
        <item x="467"/>
        <item x="647"/>
        <item x="668"/>
        <item x="276"/>
        <item x="447"/>
        <item x="646"/>
        <item x="507"/>
        <item x="717"/>
        <item x="942"/>
        <item x="649"/>
        <item x="634"/>
        <item x="253"/>
        <item x="82"/>
        <item x="794"/>
        <item x="526"/>
        <item x="422"/>
        <item x="434"/>
        <item x="220"/>
        <item x="836"/>
        <item x="157"/>
        <item x="721"/>
        <item x="267"/>
        <item x="803"/>
        <item x="306"/>
        <item x="801"/>
        <item x="679"/>
        <item x="83"/>
        <item x="636"/>
        <item x="201"/>
        <item x="718"/>
        <item x="100"/>
        <item x="557"/>
        <item x="316"/>
        <item x="247"/>
        <item x="629"/>
        <item x="480"/>
        <item x="672"/>
        <item x="702"/>
        <item x="173"/>
        <item x="729"/>
        <item x="985"/>
        <item x="606"/>
        <item x="131"/>
        <item x="611"/>
        <item x="844"/>
        <item x="657"/>
        <item x="756"/>
        <item x="731"/>
        <item x="510"/>
        <item x="875"/>
        <item x="550"/>
        <item x="154"/>
        <item x="41"/>
        <item x="547"/>
        <item x="334"/>
        <item x="812"/>
        <item x="171"/>
        <item x="275"/>
        <item x="380"/>
        <item x="341"/>
        <item x="830"/>
        <item x="377"/>
        <item x="151"/>
        <item t="default"/>
      </items>
    </pivotField>
    <pivotField showAll="0"/>
    <pivotField showAll="0"/>
    <pivotField showAll="0"/>
    <pivotField showAll="0"/>
    <pivotField showAll="0"/>
    <pivotField numFmtId="9"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D1FF32-8F64-8C40-8BEB-EFFA951E6EDE}" name="PivotTable9"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6:C141" firstHeaderRow="0" firstDataRow="1" firstDataCol="1"/>
  <pivotFields count="19">
    <pivotField showAll="0"/>
    <pivotField showAll="0"/>
    <pivotField showAll="0"/>
    <pivotField showAll="0"/>
    <pivotField showAll="0"/>
    <pivotField showAll="0"/>
    <pivotField showAll="0"/>
    <pivotField showAll="0"/>
    <pivotField numFmtId="164" showAll="0"/>
    <pivotField showAll="0"/>
    <pivotField numFmtId="9" showAll="0"/>
    <pivotField dataField="1" numFmtId="164" showAll="0"/>
    <pivotField showAll="0"/>
    <pivotField showAll="0"/>
    <pivotField showAll="0"/>
    <pivotField showAll="0"/>
    <pivotField showAll="0"/>
    <pivotField dataField="1" numFmtId="9" showAll="0"/>
    <pivotField axis="axisRow" showAll="0">
      <items count="5">
        <item x="1"/>
        <item x="2"/>
        <item x="3"/>
        <item x="0"/>
        <item t="default"/>
      </items>
    </pivotField>
  </pivotFields>
  <rowFields count="1">
    <field x="18"/>
  </rowFields>
  <rowItems count="5">
    <i>
      <x/>
    </i>
    <i>
      <x v="1"/>
    </i>
    <i>
      <x v="2"/>
    </i>
    <i>
      <x v="3"/>
    </i>
    <i t="grand">
      <x/>
    </i>
  </rowItems>
  <colFields count="1">
    <field x="-2"/>
  </colFields>
  <colItems count="2">
    <i>
      <x/>
    </i>
    <i i="1">
      <x v="1"/>
    </i>
  </colItems>
  <dataFields count="2">
    <dataField name="Sum of Profit" fld="11" baseField="0" baseItem="0" numFmtId="164"/>
    <dataField name="Average of Profit Margin %" fld="17" subtotal="average" baseField="0" baseItem="0" numFmtId="9"/>
  </dataFields>
  <chartFormats count="4">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3DAE4AE-7742-314A-8718-801C3E8A6C1F}" name="PivotTable2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B40" firstHeaderRow="1" firstDataRow="1" firstDataCol="1"/>
  <pivotFields count="19">
    <pivotField showAll="0"/>
    <pivotField showAll="0"/>
    <pivotField showAll="0"/>
    <pivotField showAll="0"/>
    <pivotField showAll="0"/>
    <pivotField showAll="0"/>
    <pivotField showAll="0"/>
    <pivotField showAll="0"/>
    <pivotField numFmtId="164" showAll="0"/>
    <pivotField showAll="0"/>
    <pivotField numFmtId="9" showAll="0"/>
    <pivotField numFmtId="164" showAll="0"/>
    <pivotField showAll="0"/>
    <pivotField showAll="0"/>
    <pivotField axis="axisRow" showAll="0">
      <items count="3">
        <item x="1"/>
        <item x="0"/>
        <item t="default"/>
      </items>
    </pivotField>
    <pivotField showAll="0"/>
    <pivotField showAll="0"/>
    <pivotField dataField="1" numFmtId="9" showAll="0"/>
    <pivotField showAll="0"/>
  </pivotFields>
  <rowFields count="1">
    <field x="14"/>
  </rowFields>
  <rowItems count="3">
    <i>
      <x/>
    </i>
    <i>
      <x v="1"/>
    </i>
    <i t="grand">
      <x/>
    </i>
  </rowItems>
  <colItems count="1">
    <i/>
  </colItems>
  <dataFields count="1">
    <dataField name="Average of Profit Margin %" fld="17" subtotal="average" baseField="0" baseItem="0" numFmtId="9"/>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4" count="1" selected="0">
            <x v="0"/>
          </reference>
        </references>
      </pivotArea>
    </chartFormat>
    <chartFormat chart="4"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EB8ADEF-EF3D-9947-90E0-C40A5A3CBFA6}"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0:B84" firstHeaderRow="1" firstDataRow="1" firstDataCol="1"/>
  <pivotFields count="19">
    <pivotField showAll="0"/>
    <pivotField showAll="0"/>
    <pivotField showAll="0"/>
    <pivotField showAll="0"/>
    <pivotField showAll="0"/>
    <pivotField axis="axisRow" showAll="0">
      <items count="4">
        <item x="1"/>
        <item x="0"/>
        <item x="2"/>
        <item t="default"/>
      </items>
    </pivotField>
    <pivotField showAll="0"/>
    <pivotField showAll="0"/>
    <pivotField numFmtId="164" showAll="0"/>
    <pivotField showAll="0"/>
    <pivotField numFmtId="9" showAll="0"/>
    <pivotField dataField="1" numFmtId="164" showAll="0"/>
    <pivotField showAll="0"/>
    <pivotField showAll="0"/>
    <pivotField showAll="0"/>
    <pivotField showAll="0"/>
    <pivotField showAll="0"/>
    <pivotField numFmtId="9" showAll="0"/>
    <pivotField showAll="0"/>
  </pivotFields>
  <rowFields count="1">
    <field x="5"/>
  </rowFields>
  <rowItems count="4">
    <i>
      <x/>
    </i>
    <i>
      <x v="1"/>
    </i>
    <i>
      <x v="2"/>
    </i>
    <i t="grand">
      <x/>
    </i>
  </rowItems>
  <colItems count="1">
    <i/>
  </colItems>
  <dataFields count="1">
    <dataField name="Sum of Profit" fld="11" baseField="0" baseItem="0" numFmtId="164"/>
  </dataFields>
  <chartFormats count="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0"/>
          </reference>
        </references>
      </pivotArea>
    </chartFormat>
    <chartFormat chart="4" format="7">
      <pivotArea type="data" outline="0" fieldPosition="0">
        <references count="2">
          <reference field="4294967294" count="1" selected="0">
            <x v="0"/>
          </reference>
          <reference field="5" count="1" selected="0">
            <x v="1"/>
          </reference>
        </references>
      </pivotArea>
    </chartFormat>
    <chartFormat chart="4" format="8">
      <pivotArea type="data" outline="0" fieldPosition="0">
        <references count="2">
          <reference field="4294967294" count="1" selected="0">
            <x v="0"/>
          </reference>
          <reference field="5" count="1" selected="0">
            <x v="2"/>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BB318E-CD97-484C-988E-04A12BB48148}" name="PivotTable8"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8:C133" firstHeaderRow="0" firstDataRow="1" firstDataCol="1"/>
  <pivotFields count="19">
    <pivotField showAll="0"/>
    <pivotField showAll="0"/>
    <pivotField showAll="0"/>
    <pivotField showAll="0"/>
    <pivotField showAll="0"/>
    <pivotField showAll="0"/>
    <pivotField showAll="0"/>
    <pivotField showAll="0"/>
    <pivotField dataField="1" numFmtId="164" showAll="0"/>
    <pivotField showAll="0"/>
    <pivotField numFmtId="9" showAll="0"/>
    <pivotField dataField="1" numFmtId="164" showAll="0"/>
    <pivotField showAll="0"/>
    <pivotField axis="axisRow" showAll="0">
      <items count="5">
        <item x="1"/>
        <item x="3"/>
        <item x="0"/>
        <item x="2"/>
        <item t="default"/>
      </items>
    </pivotField>
    <pivotField showAll="0"/>
    <pivotField showAll="0"/>
    <pivotField showAll="0"/>
    <pivotField numFmtId="9" showAll="0"/>
    <pivotField showAll="0"/>
  </pivotFields>
  <rowFields count="1">
    <field x="13"/>
  </rowFields>
  <rowItems count="5">
    <i>
      <x/>
    </i>
    <i>
      <x v="1"/>
    </i>
    <i>
      <x v="2"/>
    </i>
    <i>
      <x v="3"/>
    </i>
    <i t="grand">
      <x/>
    </i>
  </rowItems>
  <colFields count="1">
    <field x="-2"/>
  </colFields>
  <colItems count="2">
    <i>
      <x/>
    </i>
    <i i="1">
      <x v="1"/>
    </i>
  </colItems>
  <dataFields count="2">
    <dataField name="Sum of Profit" fld="11" baseField="0" baseItem="0" numFmtId="164"/>
    <dataField name="Sum of Sales" fld="8" baseField="0" baseItem="0" numFmtId="164"/>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660E2B-4E9B-4A45-9A58-AEBBAEA0F255}" sourceName="Region">
  <pivotTables>
    <pivotTable tabId="2" name="PivotTable7"/>
  </pivotTables>
  <data>
    <tabular pivotCacheId="117539319">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AEB6C1D-A396-8C4B-B4CF-7BD34EA1254B}" sourceName="Category">
  <pivotTables>
    <pivotTable tabId="2" name="PivotTable7"/>
  </pivotTables>
  <data>
    <tabular pivotCacheId="117539319">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3F060AA3-9C5A-FA46-93BD-92A3CCCA5BFB}" sourceName="Sales Person">
  <pivotTables>
    <pivotTable tabId="2" name="PivotTable7"/>
  </pivotTables>
  <data>
    <tabular pivotCacheId="117539319">
      <items count="10">
        <i x="0" s="1"/>
        <i x="7" s="1"/>
        <i x="4" s="1"/>
        <i x="8" s="1"/>
        <i x="3" s="1"/>
        <i x="2" s="1"/>
        <i x="5" s="1"/>
        <i x="6" s="1"/>
        <i x="9"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2ED3A8F-25AA-9842-BEFB-5F607C00C8FD}" sourceName="Segment">
  <pivotTables>
    <pivotTable tabId="2" name="PivotTable7"/>
  </pivotTables>
  <data>
    <tabular pivotCacheId="117539319">
      <items count="4">
        <i x="1" s="1"/>
        <i x="3"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2F5058C-D1C4-434B-B87F-4EE1D6A26A26}" sourceName="Year">
  <pivotTables>
    <pivotTable tabId="2" name="PivotTable7"/>
  </pivotTables>
  <data>
    <tabular pivotCacheId="117539319">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D38AF47-309E-0D42-933C-01D307F3A59E}" sourceName="Month">
  <pivotTables>
    <pivotTable tabId="2" name="PivotTable7"/>
  </pivotTables>
  <data>
    <tabular pivotCacheId="117539319">
      <items count="12">
        <i x="0" s="1"/>
        <i x="1" s="1"/>
        <i x="3" s="1"/>
        <i x="8" s="1"/>
        <i x="7" s="1"/>
        <i x="9" s="1"/>
        <i x="6" s="1"/>
        <i x="11" s="1"/>
        <i x="5" s="1"/>
        <i x="2" s="1"/>
        <i x="10"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ucket" xr10:uid="{0FD37D6E-F578-4849-874C-603257072560}" sourceName="Discount Bucket">
  <pivotTables>
    <pivotTable tabId="2" name="PivotTable7"/>
  </pivotTables>
  <data>
    <tabular pivotCacheId="117539319">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23EDFC0-8546-6D4E-A3B4-CCA90D288656}" cache="Slicer_Region" caption="Region" style="SlicerStyleDark1" rowHeight="230716"/>
  <slicer name="Category" xr10:uid="{50946DA6-40CF-F843-A1F8-0C953D29A092}" cache="Slicer_Category" caption="Category" style="SlicerStyleDark2" rowHeight="230716"/>
  <slicer name="Sales Person" xr10:uid="{0880D602-EE74-114E-BCDD-6FA6F428C2F5}" cache="Slicer_Sales_Person" caption="Sales Person" startItem="2" style="SlicerStyleDark4" rowHeight="230716"/>
  <slicer name="Segment" xr10:uid="{AC49FCA7-20B5-1D49-9255-D1ED029D57FB}" cache="Slicer_Segment" caption="Segment" style="SlicerStyleDark5" rowHeight="230716"/>
  <slicer name="Year" xr10:uid="{8F52CA1B-19D0-9C4E-A901-6435EA859CD6}" cache="Slicer_Year" caption="Year" style="SlicerStyleDark6" rowHeight="230716"/>
  <slicer name="Month" xr10:uid="{C45F7AED-1E77-C447-BDAA-CFCC07D36BBA}" cache="Slicer_Month" caption="Month" style="SlicerStyleOther1" rowHeight="230716"/>
  <slicer name="Discount Bucket" xr10:uid="{4D48E85A-F227-F240-878E-60A426A2E0AF}" cache="Slicer_Discount_Bucket" caption="Discount Bucket" style="SlicerStyleDark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36F4CC2-832F-804E-AC8C-8BC6A2573147}" cache="Slicer_Region" caption="Region" style="SlicerStyleDark1" rowHeight="230716"/>
  <slicer name="Category 1" xr10:uid="{32204CCE-E045-9245-B0B0-D435BFCC4437}" cache="Slicer_Category" caption="Category" style="SlicerStyleDark2" rowHeight="230716"/>
  <slicer name="Sales Person 1" xr10:uid="{DED0480D-E3E2-E945-8B83-AF22CC725BB7}" cache="Slicer_Sales_Person" caption="Sales Person" style="SlicerStyleDark4" rowHeight="230716"/>
  <slicer name="Segment 1" xr10:uid="{36E0E461-1E51-7243-9A10-5B078240B849}" cache="Slicer_Segment" caption="Segment" style="SlicerStyleDark5" rowHeight="230716"/>
  <slicer name="Year 1" xr10:uid="{0673E3A0-98FD-7442-9D08-394B8F67990D}" cache="Slicer_Year" caption="Year" style="SlicerStyleDark6" rowHeight="230716"/>
  <slicer name="Month 1" xr10:uid="{36815589-07D8-6B4E-942E-B56173915C80}" cache="Slicer_Month" caption="Month" style="SlicerStyleOther1" rowHeight="230716"/>
  <slicer name="Discount Bucket 1" xr10:uid="{8077D6A1-9707-9F42-8CC9-CDEC011DC8D7}" cache="Slicer_Discount_Bucket" caption="Discount Bucket" style="SlicerStyleDark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FB5618-E5C0-934F-AE8F-2070F45CFA94}" name="Table1" displayName="Table1" ref="A1:S1001" totalsRowShown="0" headerRowDxfId="8">
  <autoFilter ref="A1:S1001" xr:uid="{9FFB5618-E5C0-934F-AE8F-2070F45CFA94}"/>
  <tableColumns count="19">
    <tableColumn id="1" xr3:uid="{500FBFBE-6ED3-F545-B59B-54CF3D5355CE}" name="Order ID"/>
    <tableColumn id="2" xr3:uid="{A9550FF2-B9B5-5141-8E40-A907E52531F0}" name="Order Date" dataDxfId="7"/>
    <tableColumn id="3" xr3:uid="{EE9552A3-4DFB-E145-8633-F060ED24BB91}" name="Customer Name"/>
    <tableColumn id="4" xr3:uid="{C66389EA-0AD2-884D-A603-7CFDEF3BE117}" name="Region"/>
    <tableColumn id="5" xr3:uid="{5B2E73B7-B6BA-2B40-8528-9DB378B57532}" name="State"/>
    <tableColumn id="6" xr3:uid="{0E8F59B6-F537-3846-9E1C-54C8869F5862}" name="Category"/>
    <tableColumn id="7" xr3:uid="{D2081E2A-6E58-E648-BCEB-7B01252ADED0}" name="Sub Category"/>
    <tableColumn id="8" xr3:uid="{EED43B51-14B3-054E-9824-489D11000D3C}" name="Product Name"/>
    <tableColumn id="9" xr3:uid="{81C747F3-03DA-0443-AC94-159448879879}" name="Sales" dataDxfId="6"/>
    <tableColumn id="10" xr3:uid="{C16CC524-AC26-EF45-98BC-F3E2981B476B}" name="Quantity"/>
    <tableColumn id="11" xr3:uid="{4D44F4E3-BFAF-4349-9F0D-5AD5F61658B9}" name="Discount" dataDxfId="5" dataCellStyle="Per cent"/>
    <tableColumn id="12" xr3:uid="{3378BE7A-7C94-C346-A1BC-655A49AE0670}" name="Profit" dataDxfId="4"/>
    <tableColumn id="13" xr3:uid="{4EB3F6E3-8FA1-DB47-874E-069790AC3624}" name="Sales Person"/>
    <tableColumn id="14" xr3:uid="{4F26F98B-16D7-0E4E-9F40-9B0281CE11E7}" name="Segment"/>
    <tableColumn id="16" xr3:uid="{8FF81429-25D7-7945-BB83-835A4EEC0CC1}" name="Year" dataDxfId="3">
      <calculatedColumnFormula>YEAR(Table1[[#This Row],[Order Date]])</calculatedColumnFormula>
    </tableColumn>
    <tableColumn id="17" xr3:uid="{7DD22CDE-1DD7-3040-9DF6-D96E48AD2BCE}" name="Month" dataDxfId="2">
      <calculatedColumnFormula>TEXT(Table1[[#This Row],[Order Date]],"mmmm")</calculatedColumnFormula>
    </tableColumn>
    <tableColumn id="18" xr3:uid="{398799DA-742E-FE47-8985-5532EB5C6E57}" name="Month Number" dataDxfId="1">
      <calculatedColumnFormula>TEXT(Table1[[#This Row],[Order Date]],"mm")</calculatedColumnFormula>
    </tableColumn>
    <tableColumn id="20" xr3:uid="{03C9A6A4-9E9D-754D-A8AA-CDB741BE34BE}" name="Profit Margin %" dataCellStyle="Per cent">
      <calculatedColumnFormula>Table1[[#This Row],[Profit]]/Table1[[#This Row],[Sales]]</calculatedColumnFormula>
    </tableColumn>
    <tableColumn id="15" xr3:uid="{E9B82BB4-4E87-384A-804B-885608CF750C}" name="Discount Bucket" dataDxfId="0">
      <calculatedColumnFormula>IF(K2=0,"No Discount",
IF(K2&lt;=0.1,"Low (1-10%)",
IF(K2&lt;=0.2,"Medium (11-20%)",
IF(K2&lt;=0.3,"High (21-30%)","Very High (&gt;30%)"))))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01"/>
  <sheetViews>
    <sheetView topLeftCell="A952" workbookViewId="0">
      <selection activeCell="U959" sqref="U959"/>
    </sheetView>
  </sheetViews>
  <sheetFormatPr baseColWidth="10" defaultColWidth="8.83203125" defaultRowHeight="15" x14ac:dyDescent="0.2"/>
  <cols>
    <col min="1" max="1" width="10.5" bestFit="1" customWidth="1"/>
    <col min="2" max="2" width="12" customWidth="1"/>
    <col min="3" max="3" width="15.83203125" customWidth="1"/>
    <col min="4" max="4" width="8.83203125" customWidth="1"/>
    <col min="5" max="5" width="10.6640625" bestFit="1" customWidth="1"/>
    <col min="6" max="6" width="12.1640625" bestFit="1" customWidth="1"/>
    <col min="7" max="7" width="13.5" customWidth="1"/>
    <col min="8" max="8" width="14.5" customWidth="1"/>
    <col min="9" max="9" width="10.83203125" customWidth="1"/>
    <col min="10" max="11" width="10.33203125" customWidth="1"/>
    <col min="12" max="12" width="9.1640625" bestFit="1" customWidth="1"/>
    <col min="13" max="13" width="13" customWidth="1"/>
    <col min="14" max="14" width="12" bestFit="1" customWidth="1"/>
    <col min="15" max="15" width="15.33203125" bestFit="1" customWidth="1"/>
    <col min="16" max="16" width="9.33203125" bestFit="1" customWidth="1"/>
    <col min="17" max="17" width="15.6640625" bestFit="1" customWidth="1"/>
    <col min="18" max="18" width="15.5" bestFit="1" customWidth="1"/>
    <col min="19" max="19" width="16.1640625" bestFit="1" customWidth="1"/>
    <col min="29" max="29" width="18.1640625" bestFit="1" customWidth="1"/>
    <col min="30" max="30" width="15.83203125" customWidth="1"/>
  </cols>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1833</v>
      </c>
      <c r="P1" s="1" t="s">
        <v>1834</v>
      </c>
      <c r="Q1" s="1" t="s">
        <v>1835</v>
      </c>
      <c r="R1" s="1" t="s">
        <v>1836</v>
      </c>
      <c r="S1" s="1" t="s">
        <v>1837</v>
      </c>
    </row>
    <row r="2" spans="1:30" x14ac:dyDescent="0.2">
      <c r="A2" t="s">
        <v>14</v>
      </c>
      <c r="B2" s="3" t="s">
        <v>15</v>
      </c>
      <c r="C2" t="s">
        <v>16</v>
      </c>
      <c r="D2" t="s">
        <v>17</v>
      </c>
      <c r="E2" t="s">
        <v>18</v>
      </c>
      <c r="F2" t="s">
        <v>19</v>
      </c>
      <c r="G2" t="s">
        <v>20</v>
      </c>
      <c r="H2" t="s">
        <v>21</v>
      </c>
      <c r="I2" s="4">
        <v>5565.9</v>
      </c>
      <c r="J2">
        <v>10</v>
      </c>
      <c r="K2" s="2">
        <v>0</v>
      </c>
      <c r="L2" s="4">
        <v>421.59</v>
      </c>
      <c r="M2" t="s">
        <v>22</v>
      </c>
      <c r="N2" t="s">
        <v>23</v>
      </c>
      <c r="O2">
        <f>YEAR(Table1[[#This Row],[Order Date]])</f>
        <v>2025</v>
      </c>
      <c r="P2" t="str">
        <f>TEXT(Table1[[#This Row],[Order Date]],"mmmm")</f>
        <v>January</v>
      </c>
      <c r="Q2" t="str">
        <f>TEXT(Table1[[#This Row],[Order Date]],"mm")</f>
        <v>01</v>
      </c>
      <c r="R2" s="2">
        <f>Table1[[#This Row],[Profit]]/Table1[[#This Row],[Sales]]</f>
        <v>7.5745162507411201E-2</v>
      </c>
      <c r="S2" t="str">
        <f t="shared" ref="S2:S65" si="0">IF(K2=0,"No Discount",
IF(K2&lt;=0.1,"Low (1-10%)",
IF(K2&lt;=0.2,"Medium (11-20%)",
IF(K2&lt;=0.3,"High (21-30%)","Very High (&gt;30%)"))))</f>
        <v>No Discount</v>
      </c>
      <c r="AC2" s="23" t="s">
        <v>1845</v>
      </c>
      <c r="AD2" s="23"/>
    </row>
    <row r="3" spans="1:30" x14ac:dyDescent="0.2">
      <c r="A3" t="s">
        <v>24</v>
      </c>
      <c r="B3" s="3" t="s">
        <v>25</v>
      </c>
      <c r="C3" t="s">
        <v>26</v>
      </c>
      <c r="D3" t="s">
        <v>27</v>
      </c>
      <c r="E3" t="s">
        <v>28</v>
      </c>
      <c r="F3" t="s">
        <v>19</v>
      </c>
      <c r="G3" t="s">
        <v>29</v>
      </c>
      <c r="H3" t="s">
        <v>30</v>
      </c>
      <c r="I3" s="4">
        <v>997.04</v>
      </c>
      <c r="J3">
        <v>4</v>
      </c>
      <c r="K3" s="2">
        <v>0.25</v>
      </c>
      <c r="L3" s="4">
        <v>-161.72</v>
      </c>
      <c r="M3" t="s">
        <v>31</v>
      </c>
      <c r="N3" t="s">
        <v>32</v>
      </c>
      <c r="O3">
        <f>YEAR(Table1[[#This Row],[Order Date]])</f>
        <v>2025</v>
      </c>
      <c r="P3" t="str">
        <f>TEXT(Table1[[#This Row],[Order Date]],"mmmm")</f>
        <v>February</v>
      </c>
      <c r="Q3" t="str">
        <f>TEXT(Table1[[#This Row],[Order Date]],"mm")</f>
        <v>02</v>
      </c>
      <c r="R3" s="2">
        <f>Table1[[#This Row],[Profit]]/Table1[[#This Row],[Sales]]</f>
        <v>-0.16220011233250423</v>
      </c>
      <c r="S3" t="str">
        <f t="shared" si="0"/>
        <v>High (21-30%)</v>
      </c>
      <c r="AC3" t="s">
        <v>1838</v>
      </c>
      <c r="AD3" s="4">
        <f>SUM(Table1[Sales])</f>
        <v>3465455.060000001</v>
      </c>
    </row>
    <row r="4" spans="1:30" x14ac:dyDescent="0.2">
      <c r="A4" t="s">
        <v>33</v>
      </c>
      <c r="B4" s="3" t="s">
        <v>34</v>
      </c>
      <c r="C4" t="s">
        <v>35</v>
      </c>
      <c r="D4" t="s">
        <v>27</v>
      </c>
      <c r="E4" t="s">
        <v>28</v>
      </c>
      <c r="F4" t="s">
        <v>19</v>
      </c>
      <c r="G4" t="s">
        <v>36</v>
      </c>
      <c r="H4" t="s">
        <v>37</v>
      </c>
      <c r="I4" s="4">
        <v>1711.71</v>
      </c>
      <c r="J4">
        <v>7</v>
      </c>
      <c r="K4" s="2">
        <v>0</v>
      </c>
      <c r="L4" s="4">
        <v>356.91</v>
      </c>
      <c r="M4" t="s">
        <v>38</v>
      </c>
      <c r="N4" t="s">
        <v>39</v>
      </c>
      <c r="O4">
        <f>YEAR(Table1[[#This Row],[Order Date]])</f>
        <v>2025</v>
      </c>
      <c r="P4" t="str">
        <f>TEXT(Table1[[#This Row],[Order Date]],"mmmm")</f>
        <v>October</v>
      </c>
      <c r="Q4" t="str">
        <f>TEXT(Table1[[#This Row],[Order Date]],"mm")</f>
        <v>10</v>
      </c>
      <c r="R4" s="2">
        <f>Table1[[#This Row],[Profit]]/Table1[[#This Row],[Sales]]</f>
        <v>0.20851078745815588</v>
      </c>
      <c r="S4" t="str">
        <f t="shared" si="0"/>
        <v>No Discount</v>
      </c>
      <c r="AC4" t="s">
        <v>1839</v>
      </c>
      <c r="AD4" s="4">
        <f>SUM(Table1[Profit])</f>
        <v>359412.61000000028</v>
      </c>
    </row>
    <row r="5" spans="1:30" x14ac:dyDescent="0.2">
      <c r="A5" t="s">
        <v>40</v>
      </c>
      <c r="B5" s="3" t="s">
        <v>41</v>
      </c>
      <c r="C5" t="s">
        <v>42</v>
      </c>
      <c r="D5" t="s">
        <v>27</v>
      </c>
      <c r="E5" t="s">
        <v>43</v>
      </c>
      <c r="F5" t="s">
        <v>19</v>
      </c>
      <c r="G5" t="s">
        <v>36</v>
      </c>
      <c r="H5" t="s">
        <v>37</v>
      </c>
      <c r="I5" s="4">
        <v>1435.1</v>
      </c>
      <c r="J5">
        <v>5</v>
      </c>
      <c r="K5" s="2">
        <v>0.3</v>
      </c>
      <c r="L5" s="4">
        <v>-122.01</v>
      </c>
      <c r="M5" t="s">
        <v>44</v>
      </c>
      <c r="N5" t="s">
        <v>32</v>
      </c>
      <c r="O5">
        <f>YEAR(Table1[[#This Row],[Order Date]])</f>
        <v>2025</v>
      </c>
      <c r="P5" t="str">
        <f>TEXT(Table1[[#This Row],[Order Date]],"mmmm")</f>
        <v>March</v>
      </c>
      <c r="Q5" t="str">
        <f>TEXT(Table1[[#This Row],[Order Date]],"mm")</f>
        <v>03</v>
      </c>
      <c r="R5" s="2">
        <f>Table1[[#This Row],[Profit]]/Table1[[#This Row],[Sales]]</f>
        <v>-8.5018465612152469E-2</v>
      </c>
      <c r="S5" t="str">
        <f t="shared" si="0"/>
        <v>High (21-30%)</v>
      </c>
      <c r="AC5" t="s">
        <v>1840</v>
      </c>
      <c r="AD5">
        <f>COUNTA(Table1[Order ID])</f>
        <v>1000</v>
      </c>
    </row>
    <row r="6" spans="1:30" x14ac:dyDescent="0.2">
      <c r="A6" t="s">
        <v>45</v>
      </c>
      <c r="B6" s="3" t="s">
        <v>46</v>
      </c>
      <c r="C6" t="s">
        <v>47</v>
      </c>
      <c r="D6" t="s">
        <v>48</v>
      </c>
      <c r="E6" t="s">
        <v>49</v>
      </c>
      <c r="F6" t="s">
        <v>19</v>
      </c>
      <c r="G6" t="s">
        <v>29</v>
      </c>
      <c r="H6" t="s">
        <v>50</v>
      </c>
      <c r="I6" s="4">
        <v>1413.08</v>
      </c>
      <c r="J6">
        <v>2</v>
      </c>
      <c r="K6" s="2">
        <v>0.1</v>
      </c>
      <c r="L6" s="4">
        <v>416.9</v>
      </c>
      <c r="M6" t="s">
        <v>31</v>
      </c>
      <c r="N6" t="s">
        <v>23</v>
      </c>
      <c r="O6">
        <f>YEAR(Table1[[#This Row],[Order Date]])</f>
        <v>2025</v>
      </c>
      <c r="P6" t="str">
        <f>TEXT(Table1[[#This Row],[Order Date]],"mmmm")</f>
        <v>February</v>
      </c>
      <c r="Q6" t="str">
        <f>TEXT(Table1[[#This Row],[Order Date]],"mm")</f>
        <v>02</v>
      </c>
      <c r="R6" s="2">
        <f>Table1[[#This Row],[Profit]]/Table1[[#This Row],[Sales]]</f>
        <v>0.29502929770430547</v>
      </c>
      <c r="S6" t="str">
        <f t="shared" si="0"/>
        <v>Low (1-10%)</v>
      </c>
      <c r="AC6" t="s">
        <v>1841</v>
      </c>
      <c r="AD6">
        <f>SUM(Table1[Quantity])</f>
        <v>5541</v>
      </c>
    </row>
    <row r="7" spans="1:30" x14ac:dyDescent="0.2">
      <c r="A7" t="s">
        <v>51</v>
      </c>
      <c r="B7" s="3" t="s">
        <v>52</v>
      </c>
      <c r="C7" t="s">
        <v>53</v>
      </c>
      <c r="D7" t="s">
        <v>17</v>
      </c>
      <c r="E7" t="s">
        <v>54</v>
      </c>
      <c r="F7" t="s">
        <v>55</v>
      </c>
      <c r="G7" t="s">
        <v>56</v>
      </c>
      <c r="H7" t="s">
        <v>57</v>
      </c>
      <c r="I7" s="4">
        <v>6869.16</v>
      </c>
      <c r="J7">
        <v>9</v>
      </c>
      <c r="K7" s="2">
        <v>0</v>
      </c>
      <c r="L7" s="4">
        <v>721.16</v>
      </c>
      <c r="M7" t="s">
        <v>44</v>
      </c>
      <c r="N7" t="s">
        <v>23</v>
      </c>
      <c r="O7">
        <f>YEAR(Table1[[#This Row],[Order Date]])</f>
        <v>2024</v>
      </c>
      <c r="P7" t="str">
        <f>TEXT(Table1[[#This Row],[Order Date]],"mmmm")</f>
        <v>December</v>
      </c>
      <c r="Q7" t="str">
        <f>TEXT(Table1[[#This Row],[Order Date]],"mm")</f>
        <v>12</v>
      </c>
      <c r="R7" s="2">
        <f>Table1[[#This Row],[Profit]]/Table1[[#This Row],[Sales]]</f>
        <v>0.10498518013847399</v>
      </c>
      <c r="S7" t="str">
        <f t="shared" si="0"/>
        <v>No Discount</v>
      </c>
      <c r="AC7" t="s">
        <v>1842</v>
      </c>
      <c r="AD7" s="5">
        <f>AVERAGE(Table1[Sales])</f>
        <v>3465.4550600000011</v>
      </c>
    </row>
    <row r="8" spans="1:30" x14ac:dyDescent="0.2">
      <c r="A8" t="s">
        <v>58</v>
      </c>
      <c r="B8" s="3" t="s">
        <v>59</v>
      </c>
      <c r="C8" t="s">
        <v>60</v>
      </c>
      <c r="D8" t="s">
        <v>27</v>
      </c>
      <c r="E8" t="s">
        <v>61</v>
      </c>
      <c r="F8" t="s">
        <v>55</v>
      </c>
      <c r="G8" t="s">
        <v>56</v>
      </c>
      <c r="H8" t="s">
        <v>62</v>
      </c>
      <c r="I8" s="4">
        <v>5509.7</v>
      </c>
      <c r="J8">
        <v>10</v>
      </c>
      <c r="K8" s="2">
        <v>0.2</v>
      </c>
      <c r="L8" s="4">
        <v>-457.71</v>
      </c>
      <c r="M8" t="s">
        <v>63</v>
      </c>
      <c r="N8" t="s">
        <v>23</v>
      </c>
      <c r="O8">
        <f>YEAR(Table1[[#This Row],[Order Date]])</f>
        <v>2024</v>
      </c>
      <c r="P8" t="str">
        <f>TEXT(Table1[[#This Row],[Order Date]],"mmmm")</f>
        <v>October</v>
      </c>
      <c r="Q8" t="str">
        <f>TEXT(Table1[[#This Row],[Order Date]],"mm")</f>
        <v>10</v>
      </c>
      <c r="R8" s="2">
        <f>Table1[[#This Row],[Profit]]/Table1[[#This Row],[Sales]]</f>
        <v>-8.3073488574695542E-2</v>
      </c>
      <c r="S8" t="str">
        <f t="shared" si="0"/>
        <v>Medium (11-20%)</v>
      </c>
      <c r="AC8" t="s">
        <v>1843</v>
      </c>
      <c r="AD8" s="5">
        <f>AVERAGE(Table1[Profit])</f>
        <v>359.41261000000026</v>
      </c>
    </row>
    <row r="9" spans="1:30" x14ac:dyDescent="0.2">
      <c r="A9" t="s">
        <v>64</v>
      </c>
      <c r="B9" s="3" t="s">
        <v>65</v>
      </c>
      <c r="C9" t="s">
        <v>66</v>
      </c>
      <c r="D9" t="s">
        <v>27</v>
      </c>
      <c r="E9" t="s">
        <v>28</v>
      </c>
      <c r="F9" t="s">
        <v>67</v>
      </c>
      <c r="G9" t="s">
        <v>68</v>
      </c>
      <c r="H9" t="s">
        <v>69</v>
      </c>
      <c r="I9" s="4">
        <v>4643.04</v>
      </c>
      <c r="J9">
        <v>6</v>
      </c>
      <c r="K9" s="2">
        <v>0.25</v>
      </c>
      <c r="L9" s="4">
        <v>-634.04</v>
      </c>
      <c r="M9" t="s">
        <v>63</v>
      </c>
      <c r="N9" t="s">
        <v>32</v>
      </c>
      <c r="O9">
        <f>YEAR(Table1[[#This Row],[Order Date]])</f>
        <v>2025</v>
      </c>
      <c r="P9" t="str">
        <f>TEXT(Table1[[#This Row],[Order Date]],"mmmm")</f>
        <v>September</v>
      </c>
      <c r="Q9" t="str">
        <f>TEXT(Table1[[#This Row],[Order Date]],"mm")</f>
        <v>09</v>
      </c>
      <c r="R9" s="2">
        <f>Table1[[#This Row],[Profit]]/Table1[[#This Row],[Sales]]</f>
        <v>-0.13655708329025809</v>
      </c>
      <c r="S9" t="str">
        <f t="shared" si="0"/>
        <v>High (21-30%)</v>
      </c>
      <c r="AC9" t="s">
        <v>1844</v>
      </c>
      <c r="AD9" s="2">
        <f>AD4/AD3</f>
        <v>0.10371296230284982</v>
      </c>
    </row>
    <row r="10" spans="1:30" x14ac:dyDescent="0.2">
      <c r="A10" t="s">
        <v>70</v>
      </c>
      <c r="B10" s="3" t="s">
        <v>71</v>
      </c>
      <c r="C10" t="s">
        <v>72</v>
      </c>
      <c r="D10" t="s">
        <v>48</v>
      </c>
      <c r="E10" t="s">
        <v>73</v>
      </c>
      <c r="F10" t="s">
        <v>55</v>
      </c>
      <c r="G10" t="s">
        <v>74</v>
      </c>
      <c r="H10" t="s">
        <v>75</v>
      </c>
      <c r="I10" s="4">
        <v>101.16</v>
      </c>
      <c r="J10">
        <v>6</v>
      </c>
      <c r="K10" s="2">
        <v>0.3</v>
      </c>
      <c r="L10" s="4">
        <v>-23.27</v>
      </c>
      <c r="M10" t="s">
        <v>31</v>
      </c>
      <c r="N10" t="s">
        <v>76</v>
      </c>
      <c r="O10">
        <f>YEAR(Table1[[#This Row],[Order Date]])</f>
        <v>2024</v>
      </c>
      <c r="P10" t="str">
        <f>TEXT(Table1[[#This Row],[Order Date]],"mmmm")</f>
        <v>October</v>
      </c>
      <c r="Q10" t="str">
        <f>TEXT(Table1[[#This Row],[Order Date]],"mm")</f>
        <v>10</v>
      </c>
      <c r="R10" s="2">
        <f>Table1[[#This Row],[Profit]]/Table1[[#This Row],[Sales]]</f>
        <v>-0.23003163305654409</v>
      </c>
      <c r="S10" t="str">
        <f t="shared" si="0"/>
        <v>High (21-30%)</v>
      </c>
    </row>
    <row r="11" spans="1:30" x14ac:dyDescent="0.2">
      <c r="A11" t="s">
        <v>77</v>
      </c>
      <c r="B11" s="3" t="s">
        <v>78</v>
      </c>
      <c r="C11" t="s">
        <v>79</v>
      </c>
      <c r="D11" t="s">
        <v>17</v>
      </c>
      <c r="E11" t="s">
        <v>80</v>
      </c>
      <c r="F11" t="s">
        <v>67</v>
      </c>
      <c r="G11" t="s">
        <v>68</v>
      </c>
      <c r="H11" t="s">
        <v>69</v>
      </c>
      <c r="I11" s="4">
        <v>2687.4</v>
      </c>
      <c r="J11">
        <v>10</v>
      </c>
      <c r="K11" s="2">
        <v>0.15</v>
      </c>
      <c r="L11" s="4">
        <v>145.56</v>
      </c>
      <c r="M11" t="s">
        <v>38</v>
      </c>
      <c r="N11" t="s">
        <v>32</v>
      </c>
      <c r="O11">
        <f>YEAR(Table1[[#This Row],[Order Date]])</f>
        <v>2024</v>
      </c>
      <c r="P11" t="str">
        <f>TEXT(Table1[[#This Row],[Order Date]],"mmmm")</f>
        <v>July</v>
      </c>
      <c r="Q11" t="str">
        <f>TEXT(Table1[[#This Row],[Order Date]],"mm")</f>
        <v>07</v>
      </c>
      <c r="R11" s="2">
        <f>Table1[[#This Row],[Profit]]/Table1[[#This Row],[Sales]]</f>
        <v>5.4163875865148467E-2</v>
      </c>
      <c r="S11" t="str">
        <f t="shared" si="0"/>
        <v>Medium (11-20%)</v>
      </c>
    </row>
    <row r="12" spans="1:30" x14ac:dyDescent="0.2">
      <c r="A12" t="s">
        <v>81</v>
      </c>
      <c r="B12" s="3" t="s">
        <v>82</v>
      </c>
      <c r="C12" t="s">
        <v>83</v>
      </c>
      <c r="D12" t="s">
        <v>48</v>
      </c>
      <c r="E12" t="s">
        <v>84</v>
      </c>
      <c r="F12" t="s">
        <v>67</v>
      </c>
      <c r="G12" t="s">
        <v>85</v>
      </c>
      <c r="H12" t="s">
        <v>86</v>
      </c>
      <c r="I12" s="4">
        <v>1715.22</v>
      </c>
      <c r="J12">
        <v>3</v>
      </c>
      <c r="K12" s="2">
        <v>0.15</v>
      </c>
      <c r="L12" s="4">
        <v>175.1</v>
      </c>
      <c r="M12" t="s">
        <v>87</v>
      </c>
      <c r="N12" t="s">
        <v>76</v>
      </c>
      <c r="O12">
        <f>YEAR(Table1[[#This Row],[Order Date]])</f>
        <v>2024</v>
      </c>
      <c r="P12" t="str">
        <f>TEXT(Table1[[#This Row],[Order Date]],"mmmm")</f>
        <v>March</v>
      </c>
      <c r="Q12" t="str">
        <f>TEXT(Table1[[#This Row],[Order Date]],"mm")</f>
        <v>03</v>
      </c>
      <c r="R12" s="2">
        <f>Table1[[#This Row],[Profit]]/Table1[[#This Row],[Sales]]</f>
        <v>0.10208602978043632</v>
      </c>
      <c r="S12" t="str">
        <f t="shared" si="0"/>
        <v>Medium (11-20%)</v>
      </c>
    </row>
    <row r="13" spans="1:30" x14ac:dyDescent="0.2">
      <c r="A13" t="s">
        <v>88</v>
      </c>
      <c r="B13" s="3" t="s">
        <v>89</v>
      </c>
      <c r="C13" t="s">
        <v>90</v>
      </c>
      <c r="D13" t="s">
        <v>27</v>
      </c>
      <c r="E13" t="s">
        <v>28</v>
      </c>
      <c r="F13" t="s">
        <v>19</v>
      </c>
      <c r="G13" t="s">
        <v>36</v>
      </c>
      <c r="H13" t="s">
        <v>37</v>
      </c>
      <c r="I13" s="4">
        <v>572.04</v>
      </c>
      <c r="J13">
        <v>1</v>
      </c>
      <c r="K13" s="2">
        <v>0.15</v>
      </c>
      <c r="L13" s="4">
        <v>117.9</v>
      </c>
      <c r="M13" t="s">
        <v>44</v>
      </c>
      <c r="N13" t="s">
        <v>23</v>
      </c>
      <c r="O13">
        <f>YEAR(Table1[[#This Row],[Order Date]])</f>
        <v>2024</v>
      </c>
      <c r="P13" t="str">
        <f>TEXT(Table1[[#This Row],[Order Date]],"mmmm")</f>
        <v>May</v>
      </c>
      <c r="Q13" t="str">
        <f>TEXT(Table1[[#This Row],[Order Date]],"mm")</f>
        <v>05</v>
      </c>
      <c r="R13" s="2">
        <f>Table1[[#This Row],[Profit]]/Table1[[#This Row],[Sales]]</f>
        <v>0.20610446821900569</v>
      </c>
      <c r="S13" t="str">
        <f t="shared" si="0"/>
        <v>Medium (11-20%)</v>
      </c>
    </row>
    <row r="14" spans="1:30" x14ac:dyDescent="0.2">
      <c r="A14" t="s">
        <v>91</v>
      </c>
      <c r="B14" s="3" t="s">
        <v>92</v>
      </c>
      <c r="C14" t="s">
        <v>93</v>
      </c>
      <c r="D14" t="s">
        <v>48</v>
      </c>
      <c r="E14" t="s">
        <v>84</v>
      </c>
      <c r="F14" t="s">
        <v>67</v>
      </c>
      <c r="G14" t="s">
        <v>85</v>
      </c>
      <c r="H14" t="s">
        <v>86</v>
      </c>
      <c r="I14" s="4">
        <v>4129.79</v>
      </c>
      <c r="J14">
        <v>7</v>
      </c>
      <c r="K14" s="2">
        <v>0.05</v>
      </c>
      <c r="L14" s="4">
        <v>1549.7</v>
      </c>
      <c r="M14" t="s">
        <v>44</v>
      </c>
      <c r="N14" t="s">
        <v>23</v>
      </c>
      <c r="O14">
        <f>YEAR(Table1[[#This Row],[Order Date]])</f>
        <v>2025</v>
      </c>
      <c r="P14" t="str">
        <f>TEXT(Table1[[#This Row],[Order Date]],"mmmm")</f>
        <v>May</v>
      </c>
      <c r="Q14" t="str">
        <f>TEXT(Table1[[#This Row],[Order Date]],"mm")</f>
        <v>05</v>
      </c>
      <c r="R14" s="2">
        <f>Table1[[#This Row],[Profit]]/Table1[[#This Row],[Sales]]</f>
        <v>0.37524910467602468</v>
      </c>
      <c r="S14" t="str">
        <f t="shared" si="0"/>
        <v>Low (1-10%)</v>
      </c>
    </row>
    <row r="15" spans="1:30" x14ac:dyDescent="0.2">
      <c r="A15" t="s">
        <v>94</v>
      </c>
      <c r="B15" s="3" t="s">
        <v>95</v>
      </c>
      <c r="C15" t="s">
        <v>96</v>
      </c>
      <c r="D15" t="s">
        <v>17</v>
      </c>
      <c r="E15" t="s">
        <v>97</v>
      </c>
      <c r="F15" t="s">
        <v>55</v>
      </c>
      <c r="G15" t="s">
        <v>98</v>
      </c>
      <c r="H15" t="s">
        <v>99</v>
      </c>
      <c r="I15" s="4">
        <v>3401.7</v>
      </c>
      <c r="J15">
        <v>10</v>
      </c>
      <c r="K15" s="2">
        <v>0.3</v>
      </c>
      <c r="L15" s="4">
        <v>-758.03</v>
      </c>
      <c r="M15" t="s">
        <v>38</v>
      </c>
      <c r="N15" t="s">
        <v>39</v>
      </c>
      <c r="O15">
        <f>YEAR(Table1[[#This Row],[Order Date]])</f>
        <v>2025</v>
      </c>
      <c r="P15" t="str">
        <f>TEXT(Table1[[#This Row],[Order Date]],"mmmm")</f>
        <v>March</v>
      </c>
      <c r="Q15" t="str">
        <f>TEXT(Table1[[#This Row],[Order Date]],"mm")</f>
        <v>03</v>
      </c>
      <c r="R15" s="2">
        <f>Table1[[#This Row],[Profit]]/Table1[[#This Row],[Sales]]</f>
        <v>-0.22283858070964518</v>
      </c>
      <c r="S15" t="str">
        <f t="shared" si="0"/>
        <v>High (21-30%)</v>
      </c>
    </row>
    <row r="16" spans="1:30" x14ac:dyDescent="0.2">
      <c r="A16" t="s">
        <v>100</v>
      </c>
      <c r="B16" s="3" t="s">
        <v>101</v>
      </c>
      <c r="C16" t="s">
        <v>102</v>
      </c>
      <c r="D16" t="s">
        <v>48</v>
      </c>
      <c r="E16" t="s">
        <v>49</v>
      </c>
      <c r="F16" t="s">
        <v>67</v>
      </c>
      <c r="G16" t="s">
        <v>68</v>
      </c>
      <c r="H16" t="s">
        <v>103</v>
      </c>
      <c r="I16" s="4">
        <v>4558.92</v>
      </c>
      <c r="J16">
        <v>4</v>
      </c>
      <c r="K16" s="2">
        <v>0</v>
      </c>
      <c r="L16" s="4">
        <v>1562.19</v>
      </c>
      <c r="M16" t="s">
        <v>22</v>
      </c>
      <c r="N16" t="s">
        <v>39</v>
      </c>
      <c r="O16">
        <f>YEAR(Table1[[#This Row],[Order Date]])</f>
        <v>2025</v>
      </c>
      <c r="P16" t="str">
        <f>TEXT(Table1[[#This Row],[Order Date]],"mmmm")</f>
        <v>March</v>
      </c>
      <c r="Q16" t="str">
        <f>TEXT(Table1[[#This Row],[Order Date]],"mm")</f>
        <v>03</v>
      </c>
      <c r="R16" s="2">
        <f>Table1[[#This Row],[Profit]]/Table1[[#This Row],[Sales]]</f>
        <v>0.34266668421468244</v>
      </c>
      <c r="S16" t="str">
        <f t="shared" si="0"/>
        <v>No Discount</v>
      </c>
    </row>
    <row r="17" spans="1:19" x14ac:dyDescent="0.2">
      <c r="A17" t="s">
        <v>104</v>
      </c>
      <c r="B17" s="3" t="s">
        <v>105</v>
      </c>
      <c r="C17" t="s">
        <v>106</v>
      </c>
      <c r="D17" t="s">
        <v>48</v>
      </c>
      <c r="E17" t="s">
        <v>73</v>
      </c>
      <c r="F17" t="s">
        <v>19</v>
      </c>
      <c r="G17" t="s">
        <v>29</v>
      </c>
      <c r="H17" t="s">
        <v>30</v>
      </c>
      <c r="I17" s="4">
        <v>10284.39</v>
      </c>
      <c r="J17">
        <v>9</v>
      </c>
      <c r="K17" s="2">
        <v>0.3</v>
      </c>
      <c r="L17" s="4">
        <v>-1904.11</v>
      </c>
      <c r="M17" t="s">
        <v>107</v>
      </c>
      <c r="N17" t="s">
        <v>23</v>
      </c>
      <c r="O17">
        <f>YEAR(Table1[[#This Row],[Order Date]])</f>
        <v>2025</v>
      </c>
      <c r="P17" t="str">
        <f>TEXT(Table1[[#This Row],[Order Date]],"mmmm")</f>
        <v>March</v>
      </c>
      <c r="Q17" t="str">
        <f>TEXT(Table1[[#This Row],[Order Date]],"mm")</f>
        <v>03</v>
      </c>
      <c r="R17" s="2">
        <f>Table1[[#This Row],[Profit]]/Table1[[#This Row],[Sales]]</f>
        <v>-0.18514564305709916</v>
      </c>
      <c r="S17" t="str">
        <f t="shared" si="0"/>
        <v>High (21-30%)</v>
      </c>
    </row>
    <row r="18" spans="1:19" x14ac:dyDescent="0.2">
      <c r="A18" t="s">
        <v>108</v>
      </c>
      <c r="B18" s="3" t="s">
        <v>109</v>
      </c>
      <c r="C18" t="s">
        <v>93</v>
      </c>
      <c r="D18" t="s">
        <v>48</v>
      </c>
      <c r="E18" t="s">
        <v>110</v>
      </c>
      <c r="F18" t="s">
        <v>19</v>
      </c>
      <c r="G18" t="s">
        <v>36</v>
      </c>
      <c r="H18" t="s">
        <v>111</v>
      </c>
      <c r="I18" s="4">
        <v>3409.8</v>
      </c>
      <c r="J18">
        <v>3</v>
      </c>
      <c r="K18" s="2">
        <v>0.3</v>
      </c>
      <c r="L18" s="4">
        <v>-816.01</v>
      </c>
      <c r="M18" t="s">
        <v>22</v>
      </c>
      <c r="N18" t="s">
        <v>76</v>
      </c>
      <c r="O18">
        <f>YEAR(Table1[[#This Row],[Order Date]])</f>
        <v>2025</v>
      </c>
      <c r="P18" t="str">
        <f>TEXT(Table1[[#This Row],[Order Date]],"mmmm")</f>
        <v>May</v>
      </c>
      <c r="Q18" t="str">
        <f>TEXT(Table1[[#This Row],[Order Date]],"mm")</f>
        <v>05</v>
      </c>
      <c r="R18" s="2">
        <f>Table1[[#This Row],[Profit]]/Table1[[#This Row],[Sales]]</f>
        <v>-0.23931315619684437</v>
      </c>
      <c r="S18" t="str">
        <f t="shared" si="0"/>
        <v>High (21-30%)</v>
      </c>
    </row>
    <row r="19" spans="1:19" x14ac:dyDescent="0.2">
      <c r="A19" t="s">
        <v>112</v>
      </c>
      <c r="B19" s="3" t="s">
        <v>113</v>
      </c>
      <c r="C19" t="s">
        <v>114</v>
      </c>
      <c r="D19" t="s">
        <v>17</v>
      </c>
      <c r="E19" t="s">
        <v>97</v>
      </c>
      <c r="F19" t="s">
        <v>67</v>
      </c>
      <c r="G19" t="s">
        <v>115</v>
      </c>
      <c r="H19" t="s">
        <v>116</v>
      </c>
      <c r="I19" s="4">
        <v>2092.9499999999998</v>
      </c>
      <c r="J19">
        <v>5</v>
      </c>
      <c r="K19" s="2">
        <v>0.2</v>
      </c>
      <c r="L19" s="4">
        <v>206.77</v>
      </c>
      <c r="M19" t="s">
        <v>117</v>
      </c>
      <c r="N19" t="s">
        <v>76</v>
      </c>
      <c r="O19">
        <f>YEAR(Table1[[#This Row],[Order Date]])</f>
        <v>2024</v>
      </c>
      <c r="P19" t="str">
        <f>TEXT(Table1[[#This Row],[Order Date]],"mmmm")</f>
        <v>January</v>
      </c>
      <c r="Q19" t="str">
        <f>TEXT(Table1[[#This Row],[Order Date]],"mm")</f>
        <v>01</v>
      </c>
      <c r="R19" s="2">
        <f>Table1[[#This Row],[Profit]]/Table1[[#This Row],[Sales]]</f>
        <v>9.8793568886022129E-2</v>
      </c>
      <c r="S19" t="str">
        <f t="shared" si="0"/>
        <v>Medium (11-20%)</v>
      </c>
    </row>
    <row r="20" spans="1:19" x14ac:dyDescent="0.2">
      <c r="A20" t="s">
        <v>118</v>
      </c>
      <c r="B20" s="3" t="s">
        <v>119</v>
      </c>
      <c r="C20" t="s">
        <v>120</v>
      </c>
      <c r="D20" t="s">
        <v>27</v>
      </c>
      <c r="E20" t="s">
        <v>28</v>
      </c>
      <c r="F20" t="s">
        <v>19</v>
      </c>
      <c r="G20" t="s">
        <v>20</v>
      </c>
      <c r="H20" t="s">
        <v>21</v>
      </c>
      <c r="I20" s="4">
        <v>4459.5</v>
      </c>
      <c r="J20">
        <v>9</v>
      </c>
      <c r="K20" s="2">
        <v>0.1</v>
      </c>
      <c r="L20" s="4">
        <v>404.54</v>
      </c>
      <c r="M20" t="s">
        <v>22</v>
      </c>
      <c r="N20" t="s">
        <v>39</v>
      </c>
      <c r="O20">
        <f>YEAR(Table1[[#This Row],[Order Date]])</f>
        <v>2025</v>
      </c>
      <c r="P20" t="str">
        <f>TEXT(Table1[[#This Row],[Order Date]],"mmmm")</f>
        <v>December</v>
      </c>
      <c r="Q20" t="str">
        <f>TEXT(Table1[[#This Row],[Order Date]],"mm")</f>
        <v>12</v>
      </c>
      <c r="R20" s="2">
        <f>Table1[[#This Row],[Profit]]/Table1[[#This Row],[Sales]]</f>
        <v>9.0714205628433686E-2</v>
      </c>
      <c r="S20" t="str">
        <f t="shared" si="0"/>
        <v>Low (1-10%)</v>
      </c>
    </row>
    <row r="21" spans="1:19" x14ac:dyDescent="0.2">
      <c r="A21" t="s">
        <v>121</v>
      </c>
      <c r="B21" s="3" t="s">
        <v>122</v>
      </c>
      <c r="C21" t="s">
        <v>123</v>
      </c>
      <c r="D21" t="s">
        <v>27</v>
      </c>
      <c r="E21" t="s">
        <v>124</v>
      </c>
      <c r="F21" t="s">
        <v>67</v>
      </c>
      <c r="G21" t="s">
        <v>85</v>
      </c>
      <c r="H21" t="s">
        <v>125</v>
      </c>
      <c r="I21" s="4">
        <v>1628.37</v>
      </c>
      <c r="J21">
        <v>3</v>
      </c>
      <c r="K21" s="2">
        <v>0.3</v>
      </c>
      <c r="L21" s="4">
        <v>-315.85000000000002</v>
      </c>
      <c r="M21" t="s">
        <v>63</v>
      </c>
      <c r="N21" t="s">
        <v>76</v>
      </c>
      <c r="O21">
        <f>YEAR(Table1[[#This Row],[Order Date]])</f>
        <v>2025</v>
      </c>
      <c r="P21" t="str">
        <f>TEXT(Table1[[#This Row],[Order Date]],"mmmm")</f>
        <v>July</v>
      </c>
      <c r="Q21" t="str">
        <f>TEXT(Table1[[#This Row],[Order Date]],"mm")</f>
        <v>07</v>
      </c>
      <c r="R21" s="2">
        <f>Table1[[#This Row],[Profit]]/Table1[[#This Row],[Sales]]</f>
        <v>-0.19396697310807742</v>
      </c>
      <c r="S21" t="str">
        <f t="shared" si="0"/>
        <v>High (21-30%)</v>
      </c>
    </row>
    <row r="22" spans="1:19" x14ac:dyDescent="0.2">
      <c r="A22" t="s">
        <v>126</v>
      </c>
      <c r="B22" s="3" t="s">
        <v>127</v>
      </c>
      <c r="C22" t="s">
        <v>128</v>
      </c>
      <c r="D22" t="s">
        <v>17</v>
      </c>
      <c r="E22" t="s">
        <v>97</v>
      </c>
      <c r="F22" t="s">
        <v>55</v>
      </c>
      <c r="G22" t="s">
        <v>56</v>
      </c>
      <c r="H22" t="s">
        <v>129</v>
      </c>
      <c r="I22" s="4">
        <v>9072.99</v>
      </c>
      <c r="J22">
        <v>9</v>
      </c>
      <c r="K22" s="2">
        <v>0.2</v>
      </c>
      <c r="L22" s="4">
        <v>1494.8</v>
      </c>
      <c r="M22" t="s">
        <v>44</v>
      </c>
      <c r="N22" t="s">
        <v>76</v>
      </c>
      <c r="O22">
        <f>YEAR(Table1[[#This Row],[Order Date]])</f>
        <v>2024</v>
      </c>
      <c r="P22" t="str">
        <f>TEXT(Table1[[#This Row],[Order Date]],"mmmm")</f>
        <v>December</v>
      </c>
      <c r="Q22" t="str">
        <f>TEXT(Table1[[#This Row],[Order Date]],"mm")</f>
        <v>12</v>
      </c>
      <c r="R22" s="2">
        <f>Table1[[#This Row],[Profit]]/Table1[[#This Row],[Sales]]</f>
        <v>0.16475274413396246</v>
      </c>
      <c r="S22" t="str">
        <f t="shared" si="0"/>
        <v>Medium (11-20%)</v>
      </c>
    </row>
    <row r="23" spans="1:19" x14ac:dyDescent="0.2">
      <c r="A23" t="s">
        <v>130</v>
      </c>
      <c r="B23" s="3" t="s">
        <v>131</v>
      </c>
      <c r="C23" t="s">
        <v>132</v>
      </c>
      <c r="D23" t="s">
        <v>48</v>
      </c>
      <c r="E23" t="s">
        <v>73</v>
      </c>
      <c r="F23" t="s">
        <v>55</v>
      </c>
      <c r="G23" t="s">
        <v>74</v>
      </c>
      <c r="H23" t="s">
        <v>133</v>
      </c>
      <c r="I23" s="4">
        <v>1321.02</v>
      </c>
      <c r="J23">
        <v>2</v>
      </c>
      <c r="K23" s="2">
        <v>0.3</v>
      </c>
      <c r="L23" s="4">
        <v>66.61</v>
      </c>
      <c r="M23" t="s">
        <v>44</v>
      </c>
      <c r="N23" t="s">
        <v>32</v>
      </c>
      <c r="O23">
        <f>YEAR(Table1[[#This Row],[Order Date]])</f>
        <v>2024</v>
      </c>
      <c r="P23" t="str">
        <f>TEXT(Table1[[#This Row],[Order Date]],"mmmm")</f>
        <v>January</v>
      </c>
      <c r="Q23" t="str">
        <f>TEXT(Table1[[#This Row],[Order Date]],"mm")</f>
        <v>01</v>
      </c>
      <c r="R23" s="2">
        <f>Table1[[#This Row],[Profit]]/Table1[[#This Row],[Sales]]</f>
        <v>5.0423157862863548E-2</v>
      </c>
      <c r="S23" t="str">
        <f t="shared" si="0"/>
        <v>High (21-30%)</v>
      </c>
    </row>
    <row r="24" spans="1:19" x14ac:dyDescent="0.2">
      <c r="A24" t="s">
        <v>134</v>
      </c>
      <c r="B24" s="3" t="s">
        <v>135</v>
      </c>
      <c r="C24" t="s">
        <v>136</v>
      </c>
      <c r="D24" t="s">
        <v>137</v>
      </c>
      <c r="E24" t="s">
        <v>138</v>
      </c>
      <c r="F24" t="s">
        <v>55</v>
      </c>
      <c r="G24" t="s">
        <v>56</v>
      </c>
      <c r="H24" t="s">
        <v>129</v>
      </c>
      <c r="I24" s="4">
        <v>191.35</v>
      </c>
      <c r="J24">
        <v>1</v>
      </c>
      <c r="K24" s="2">
        <v>0.25</v>
      </c>
      <c r="L24" s="4">
        <v>-35.39</v>
      </c>
      <c r="M24" t="s">
        <v>117</v>
      </c>
      <c r="N24" t="s">
        <v>39</v>
      </c>
      <c r="O24">
        <f>YEAR(Table1[[#This Row],[Order Date]])</f>
        <v>2025</v>
      </c>
      <c r="P24" t="str">
        <f>TEXT(Table1[[#This Row],[Order Date]],"mmmm")</f>
        <v>July</v>
      </c>
      <c r="Q24" t="str">
        <f>TEXT(Table1[[#This Row],[Order Date]],"mm")</f>
        <v>07</v>
      </c>
      <c r="R24" s="2">
        <f>Table1[[#This Row],[Profit]]/Table1[[#This Row],[Sales]]</f>
        <v>-0.18494904625032663</v>
      </c>
      <c r="S24" t="str">
        <f t="shared" si="0"/>
        <v>High (21-30%)</v>
      </c>
    </row>
    <row r="25" spans="1:19" x14ac:dyDescent="0.2">
      <c r="A25" t="s">
        <v>139</v>
      </c>
      <c r="B25" s="3" t="s">
        <v>140</v>
      </c>
      <c r="C25" t="s">
        <v>141</v>
      </c>
      <c r="D25" t="s">
        <v>137</v>
      </c>
      <c r="E25" t="s">
        <v>142</v>
      </c>
      <c r="F25" t="s">
        <v>67</v>
      </c>
      <c r="G25" t="s">
        <v>85</v>
      </c>
      <c r="H25" t="s">
        <v>86</v>
      </c>
      <c r="I25" s="4">
        <v>6352.3</v>
      </c>
      <c r="J25">
        <v>10</v>
      </c>
      <c r="K25" s="2">
        <v>0</v>
      </c>
      <c r="L25" s="4">
        <v>1494.43</v>
      </c>
      <c r="M25" t="s">
        <v>143</v>
      </c>
      <c r="N25" t="s">
        <v>23</v>
      </c>
      <c r="O25">
        <f>YEAR(Table1[[#This Row],[Order Date]])</f>
        <v>2024</v>
      </c>
      <c r="P25" t="str">
        <f>TEXT(Table1[[#This Row],[Order Date]],"mmmm")</f>
        <v>May</v>
      </c>
      <c r="Q25" t="str">
        <f>TEXT(Table1[[#This Row],[Order Date]],"mm")</f>
        <v>05</v>
      </c>
      <c r="R25" s="2">
        <f>Table1[[#This Row],[Profit]]/Table1[[#This Row],[Sales]]</f>
        <v>0.23525809549297105</v>
      </c>
      <c r="S25" t="str">
        <f t="shared" si="0"/>
        <v>No Discount</v>
      </c>
    </row>
    <row r="26" spans="1:19" x14ac:dyDescent="0.2">
      <c r="A26" t="s">
        <v>144</v>
      </c>
      <c r="B26" s="3" t="s">
        <v>145</v>
      </c>
      <c r="C26" t="s">
        <v>146</v>
      </c>
      <c r="D26" t="s">
        <v>27</v>
      </c>
      <c r="E26" t="s">
        <v>43</v>
      </c>
      <c r="F26" t="s">
        <v>55</v>
      </c>
      <c r="G26" t="s">
        <v>56</v>
      </c>
      <c r="H26" t="s">
        <v>57</v>
      </c>
      <c r="I26" s="4">
        <v>10778.04</v>
      </c>
      <c r="J26">
        <v>9</v>
      </c>
      <c r="K26" s="2">
        <v>0.15</v>
      </c>
      <c r="L26" s="4">
        <v>156.16</v>
      </c>
      <c r="M26" t="s">
        <v>44</v>
      </c>
      <c r="N26" t="s">
        <v>23</v>
      </c>
      <c r="O26">
        <f>YEAR(Table1[[#This Row],[Order Date]])</f>
        <v>2024</v>
      </c>
      <c r="P26" t="str">
        <f>TEXT(Table1[[#This Row],[Order Date]],"mmmm")</f>
        <v>December</v>
      </c>
      <c r="Q26" t="str">
        <f>TEXT(Table1[[#This Row],[Order Date]],"mm")</f>
        <v>12</v>
      </c>
      <c r="R26" s="2">
        <f>Table1[[#This Row],[Profit]]/Table1[[#This Row],[Sales]]</f>
        <v>1.4488719655892907E-2</v>
      </c>
      <c r="S26" t="str">
        <f t="shared" si="0"/>
        <v>Medium (11-20%)</v>
      </c>
    </row>
    <row r="27" spans="1:19" x14ac:dyDescent="0.2">
      <c r="A27" t="s">
        <v>147</v>
      </c>
      <c r="B27" s="3" t="s">
        <v>148</v>
      </c>
      <c r="C27" t="s">
        <v>149</v>
      </c>
      <c r="D27" t="s">
        <v>17</v>
      </c>
      <c r="E27" t="s">
        <v>97</v>
      </c>
      <c r="F27" t="s">
        <v>55</v>
      </c>
      <c r="G27" t="s">
        <v>98</v>
      </c>
      <c r="H27" t="s">
        <v>150</v>
      </c>
      <c r="I27" s="4">
        <v>2001.92</v>
      </c>
      <c r="J27">
        <v>8</v>
      </c>
      <c r="K27" s="2">
        <v>0.05</v>
      </c>
      <c r="L27" s="4">
        <v>505.07</v>
      </c>
      <c r="M27" t="s">
        <v>107</v>
      </c>
      <c r="N27" t="s">
        <v>23</v>
      </c>
      <c r="O27">
        <f>YEAR(Table1[[#This Row],[Order Date]])</f>
        <v>2025</v>
      </c>
      <c r="P27" t="str">
        <f>TEXT(Table1[[#This Row],[Order Date]],"mmmm")</f>
        <v>September</v>
      </c>
      <c r="Q27" t="str">
        <f>TEXT(Table1[[#This Row],[Order Date]],"mm")</f>
        <v>09</v>
      </c>
      <c r="R27" s="2">
        <f>Table1[[#This Row],[Profit]]/Table1[[#This Row],[Sales]]</f>
        <v>0.25229279891304346</v>
      </c>
      <c r="S27" t="str">
        <f t="shared" si="0"/>
        <v>Low (1-10%)</v>
      </c>
    </row>
    <row r="28" spans="1:19" x14ac:dyDescent="0.2">
      <c r="A28" t="s">
        <v>151</v>
      </c>
      <c r="B28" s="3" t="s">
        <v>152</v>
      </c>
      <c r="C28" t="s">
        <v>153</v>
      </c>
      <c r="D28" t="s">
        <v>137</v>
      </c>
      <c r="E28" t="s">
        <v>142</v>
      </c>
      <c r="F28" t="s">
        <v>55</v>
      </c>
      <c r="G28" t="s">
        <v>98</v>
      </c>
      <c r="H28" t="s">
        <v>154</v>
      </c>
      <c r="I28" s="4">
        <v>2181.9499999999998</v>
      </c>
      <c r="J28">
        <v>5</v>
      </c>
      <c r="K28" s="2">
        <v>0.3</v>
      </c>
      <c r="L28" s="4">
        <v>260.37</v>
      </c>
      <c r="M28" t="s">
        <v>107</v>
      </c>
      <c r="N28" t="s">
        <v>23</v>
      </c>
      <c r="O28">
        <f>YEAR(Table1[[#This Row],[Order Date]])</f>
        <v>2024</v>
      </c>
      <c r="P28" t="str">
        <f>TEXT(Table1[[#This Row],[Order Date]],"mmmm")</f>
        <v>July</v>
      </c>
      <c r="Q28" t="str">
        <f>TEXT(Table1[[#This Row],[Order Date]],"mm")</f>
        <v>07</v>
      </c>
      <c r="R28" s="2">
        <f>Table1[[#This Row],[Profit]]/Table1[[#This Row],[Sales]]</f>
        <v>0.11932904053713422</v>
      </c>
      <c r="S28" t="str">
        <f t="shared" si="0"/>
        <v>High (21-30%)</v>
      </c>
    </row>
    <row r="29" spans="1:19" x14ac:dyDescent="0.2">
      <c r="A29" t="s">
        <v>155</v>
      </c>
      <c r="B29" s="3" t="s">
        <v>156</v>
      </c>
      <c r="C29" t="s">
        <v>157</v>
      </c>
      <c r="D29" t="s">
        <v>48</v>
      </c>
      <c r="E29" t="s">
        <v>110</v>
      </c>
      <c r="F29" t="s">
        <v>67</v>
      </c>
      <c r="G29" t="s">
        <v>115</v>
      </c>
      <c r="H29" t="s">
        <v>116</v>
      </c>
      <c r="I29" s="4">
        <v>2112.54</v>
      </c>
      <c r="J29">
        <v>6</v>
      </c>
      <c r="K29" s="2">
        <v>0.05</v>
      </c>
      <c r="L29" s="4">
        <v>242.56</v>
      </c>
      <c r="M29" t="s">
        <v>44</v>
      </c>
      <c r="N29" t="s">
        <v>32</v>
      </c>
      <c r="O29">
        <f>YEAR(Table1[[#This Row],[Order Date]])</f>
        <v>2024</v>
      </c>
      <c r="P29" t="str">
        <f>TEXT(Table1[[#This Row],[Order Date]],"mmmm")</f>
        <v>January</v>
      </c>
      <c r="Q29" t="str">
        <f>TEXT(Table1[[#This Row],[Order Date]],"mm")</f>
        <v>01</v>
      </c>
      <c r="R29" s="2">
        <f>Table1[[#This Row],[Profit]]/Table1[[#This Row],[Sales]]</f>
        <v>0.11481912768515626</v>
      </c>
      <c r="S29" t="str">
        <f t="shared" si="0"/>
        <v>Low (1-10%)</v>
      </c>
    </row>
    <row r="30" spans="1:19" x14ac:dyDescent="0.2">
      <c r="A30" t="s">
        <v>158</v>
      </c>
      <c r="B30" s="3" t="s">
        <v>59</v>
      </c>
      <c r="C30" t="s">
        <v>159</v>
      </c>
      <c r="D30" t="s">
        <v>137</v>
      </c>
      <c r="E30" t="s">
        <v>160</v>
      </c>
      <c r="F30" t="s">
        <v>55</v>
      </c>
      <c r="G30" t="s">
        <v>56</v>
      </c>
      <c r="H30" t="s">
        <v>129</v>
      </c>
      <c r="I30" s="4">
        <v>2720.6</v>
      </c>
      <c r="J30">
        <v>5</v>
      </c>
      <c r="K30" s="2">
        <v>0.05</v>
      </c>
      <c r="L30" s="4">
        <v>240.81</v>
      </c>
      <c r="M30" t="s">
        <v>107</v>
      </c>
      <c r="N30" t="s">
        <v>39</v>
      </c>
      <c r="O30">
        <f>YEAR(Table1[[#This Row],[Order Date]])</f>
        <v>2024</v>
      </c>
      <c r="P30" t="str">
        <f>TEXT(Table1[[#This Row],[Order Date]],"mmmm")</f>
        <v>October</v>
      </c>
      <c r="Q30" t="str">
        <f>TEXT(Table1[[#This Row],[Order Date]],"mm")</f>
        <v>10</v>
      </c>
      <c r="R30" s="2">
        <f>Table1[[#This Row],[Profit]]/Table1[[#This Row],[Sales]]</f>
        <v>8.8513563184591637E-2</v>
      </c>
      <c r="S30" t="str">
        <f t="shared" si="0"/>
        <v>Low (1-10%)</v>
      </c>
    </row>
    <row r="31" spans="1:19" x14ac:dyDescent="0.2">
      <c r="A31" t="s">
        <v>161</v>
      </c>
      <c r="B31" s="3" t="s">
        <v>162</v>
      </c>
      <c r="C31" t="s">
        <v>163</v>
      </c>
      <c r="D31" t="s">
        <v>48</v>
      </c>
      <c r="E31" t="s">
        <v>110</v>
      </c>
      <c r="F31" t="s">
        <v>67</v>
      </c>
      <c r="G31" t="s">
        <v>68</v>
      </c>
      <c r="H31" t="s">
        <v>103</v>
      </c>
      <c r="I31" s="4">
        <v>6996.29</v>
      </c>
      <c r="J31">
        <v>7</v>
      </c>
      <c r="K31" s="2">
        <v>0.3</v>
      </c>
      <c r="L31" s="4">
        <v>320.13</v>
      </c>
      <c r="M31" t="s">
        <v>87</v>
      </c>
      <c r="N31" t="s">
        <v>32</v>
      </c>
      <c r="O31">
        <f>YEAR(Table1[[#This Row],[Order Date]])</f>
        <v>2025</v>
      </c>
      <c r="P31" t="str">
        <f>TEXT(Table1[[#This Row],[Order Date]],"mmmm")</f>
        <v>January</v>
      </c>
      <c r="Q31" t="str">
        <f>TEXT(Table1[[#This Row],[Order Date]],"mm")</f>
        <v>01</v>
      </c>
      <c r="R31" s="2">
        <f>Table1[[#This Row],[Profit]]/Table1[[#This Row],[Sales]]</f>
        <v>4.5757108410314606E-2</v>
      </c>
      <c r="S31" t="str">
        <f t="shared" si="0"/>
        <v>High (21-30%)</v>
      </c>
    </row>
    <row r="32" spans="1:19" x14ac:dyDescent="0.2">
      <c r="A32" t="s">
        <v>164</v>
      </c>
      <c r="B32" s="3" t="s">
        <v>165</v>
      </c>
      <c r="C32" t="s">
        <v>166</v>
      </c>
      <c r="D32" t="s">
        <v>27</v>
      </c>
      <c r="E32" t="s">
        <v>43</v>
      </c>
      <c r="F32" t="s">
        <v>19</v>
      </c>
      <c r="G32" t="s">
        <v>20</v>
      </c>
      <c r="H32" t="s">
        <v>21</v>
      </c>
      <c r="I32" s="4">
        <v>9500.58</v>
      </c>
      <c r="J32">
        <v>9</v>
      </c>
      <c r="K32" s="2">
        <v>0.3</v>
      </c>
      <c r="L32" s="4">
        <v>-133.25</v>
      </c>
      <c r="M32" t="s">
        <v>44</v>
      </c>
      <c r="N32" t="s">
        <v>32</v>
      </c>
      <c r="O32">
        <f>YEAR(Table1[[#This Row],[Order Date]])</f>
        <v>2025</v>
      </c>
      <c r="P32" t="str">
        <f>TEXT(Table1[[#This Row],[Order Date]],"mmmm")</f>
        <v>January</v>
      </c>
      <c r="Q32" t="str">
        <f>TEXT(Table1[[#This Row],[Order Date]],"mm")</f>
        <v>01</v>
      </c>
      <c r="R32" s="2">
        <f>Table1[[#This Row],[Profit]]/Table1[[#This Row],[Sales]]</f>
        <v>-1.4025459498262212E-2</v>
      </c>
      <c r="S32" t="str">
        <f t="shared" si="0"/>
        <v>High (21-30%)</v>
      </c>
    </row>
    <row r="33" spans="1:19" x14ac:dyDescent="0.2">
      <c r="A33" t="s">
        <v>167</v>
      </c>
      <c r="B33" s="3" t="s">
        <v>168</v>
      </c>
      <c r="C33" t="s">
        <v>169</v>
      </c>
      <c r="D33" t="s">
        <v>137</v>
      </c>
      <c r="E33" t="s">
        <v>142</v>
      </c>
      <c r="F33" t="s">
        <v>19</v>
      </c>
      <c r="G33" t="s">
        <v>20</v>
      </c>
      <c r="H33" t="s">
        <v>21</v>
      </c>
      <c r="I33" s="4">
        <v>9145.17</v>
      </c>
      <c r="J33">
        <v>9</v>
      </c>
      <c r="K33" s="2">
        <v>0.2</v>
      </c>
      <c r="L33" s="4">
        <v>-374.38</v>
      </c>
      <c r="M33" t="s">
        <v>107</v>
      </c>
      <c r="N33" t="s">
        <v>39</v>
      </c>
      <c r="O33">
        <f>YEAR(Table1[[#This Row],[Order Date]])</f>
        <v>2025</v>
      </c>
      <c r="P33" t="str">
        <f>TEXT(Table1[[#This Row],[Order Date]],"mmmm")</f>
        <v>April</v>
      </c>
      <c r="Q33" t="str">
        <f>TEXT(Table1[[#This Row],[Order Date]],"mm")</f>
        <v>04</v>
      </c>
      <c r="R33" s="2">
        <f>Table1[[#This Row],[Profit]]/Table1[[#This Row],[Sales]]</f>
        <v>-4.0937456602775014E-2</v>
      </c>
      <c r="S33" t="str">
        <f t="shared" si="0"/>
        <v>Medium (11-20%)</v>
      </c>
    </row>
    <row r="34" spans="1:19" x14ac:dyDescent="0.2">
      <c r="A34" t="s">
        <v>170</v>
      </c>
      <c r="B34" s="3" t="s">
        <v>171</v>
      </c>
      <c r="C34" t="s">
        <v>172</v>
      </c>
      <c r="D34" t="s">
        <v>17</v>
      </c>
      <c r="E34" t="s">
        <v>54</v>
      </c>
      <c r="F34" t="s">
        <v>55</v>
      </c>
      <c r="G34" t="s">
        <v>98</v>
      </c>
      <c r="H34" t="s">
        <v>99</v>
      </c>
      <c r="I34" s="4">
        <v>367.5</v>
      </c>
      <c r="J34">
        <v>10</v>
      </c>
      <c r="K34" s="2">
        <v>0.05</v>
      </c>
      <c r="L34" s="4">
        <v>143.15</v>
      </c>
      <c r="M34" t="s">
        <v>31</v>
      </c>
      <c r="N34" t="s">
        <v>32</v>
      </c>
      <c r="O34">
        <f>YEAR(Table1[[#This Row],[Order Date]])</f>
        <v>2024</v>
      </c>
      <c r="P34" t="str">
        <f>TEXT(Table1[[#This Row],[Order Date]],"mmmm")</f>
        <v>July</v>
      </c>
      <c r="Q34" t="str">
        <f>TEXT(Table1[[#This Row],[Order Date]],"mm")</f>
        <v>07</v>
      </c>
      <c r="R34" s="2">
        <f>Table1[[#This Row],[Profit]]/Table1[[#This Row],[Sales]]</f>
        <v>0.38952380952380955</v>
      </c>
      <c r="S34" t="str">
        <f t="shared" si="0"/>
        <v>Low (1-10%)</v>
      </c>
    </row>
    <row r="35" spans="1:19" x14ac:dyDescent="0.2">
      <c r="A35" t="s">
        <v>173</v>
      </c>
      <c r="B35" s="3" t="s">
        <v>174</v>
      </c>
      <c r="C35" t="s">
        <v>175</v>
      </c>
      <c r="D35" t="s">
        <v>137</v>
      </c>
      <c r="E35" t="s">
        <v>138</v>
      </c>
      <c r="F35" t="s">
        <v>67</v>
      </c>
      <c r="G35" t="s">
        <v>85</v>
      </c>
      <c r="H35" t="s">
        <v>86</v>
      </c>
      <c r="I35" s="4">
        <v>1061.6600000000001</v>
      </c>
      <c r="J35">
        <v>1</v>
      </c>
      <c r="K35" s="2">
        <v>0</v>
      </c>
      <c r="L35" s="4">
        <v>422.8</v>
      </c>
      <c r="M35" t="s">
        <v>143</v>
      </c>
      <c r="N35" t="s">
        <v>76</v>
      </c>
      <c r="O35">
        <f>YEAR(Table1[[#This Row],[Order Date]])</f>
        <v>2024</v>
      </c>
      <c r="P35" t="str">
        <f>TEXT(Table1[[#This Row],[Order Date]],"mmmm")</f>
        <v>June</v>
      </c>
      <c r="Q35" t="str">
        <f>TEXT(Table1[[#This Row],[Order Date]],"mm")</f>
        <v>06</v>
      </c>
      <c r="R35" s="2">
        <f>Table1[[#This Row],[Profit]]/Table1[[#This Row],[Sales]]</f>
        <v>0.39824425899063726</v>
      </c>
      <c r="S35" t="str">
        <f t="shared" si="0"/>
        <v>No Discount</v>
      </c>
    </row>
    <row r="36" spans="1:19" x14ac:dyDescent="0.2">
      <c r="A36" t="s">
        <v>176</v>
      </c>
      <c r="B36" s="3" t="s">
        <v>177</v>
      </c>
      <c r="C36" t="s">
        <v>123</v>
      </c>
      <c r="D36" t="s">
        <v>27</v>
      </c>
      <c r="E36" t="s">
        <v>61</v>
      </c>
      <c r="F36" t="s">
        <v>67</v>
      </c>
      <c r="G36" t="s">
        <v>115</v>
      </c>
      <c r="H36" t="s">
        <v>178</v>
      </c>
      <c r="I36" s="4">
        <v>1527.6</v>
      </c>
      <c r="J36">
        <v>8</v>
      </c>
      <c r="K36" s="2">
        <v>0</v>
      </c>
      <c r="L36" s="4">
        <v>419.74</v>
      </c>
      <c r="M36" t="s">
        <v>22</v>
      </c>
      <c r="N36" t="s">
        <v>39</v>
      </c>
      <c r="O36">
        <f>YEAR(Table1[[#This Row],[Order Date]])</f>
        <v>2025</v>
      </c>
      <c r="P36" t="str">
        <f>TEXT(Table1[[#This Row],[Order Date]],"mmmm")</f>
        <v>March</v>
      </c>
      <c r="Q36" t="str">
        <f>TEXT(Table1[[#This Row],[Order Date]],"mm")</f>
        <v>03</v>
      </c>
      <c r="R36" s="2">
        <f>Table1[[#This Row],[Profit]]/Table1[[#This Row],[Sales]]</f>
        <v>0.27477088242995551</v>
      </c>
      <c r="S36" t="str">
        <f t="shared" si="0"/>
        <v>No Discount</v>
      </c>
    </row>
    <row r="37" spans="1:19" x14ac:dyDescent="0.2">
      <c r="A37" t="s">
        <v>179</v>
      </c>
      <c r="B37" s="3" t="s">
        <v>180</v>
      </c>
      <c r="C37" t="s">
        <v>60</v>
      </c>
      <c r="D37" t="s">
        <v>17</v>
      </c>
      <c r="E37" t="s">
        <v>97</v>
      </c>
      <c r="F37" t="s">
        <v>67</v>
      </c>
      <c r="G37" t="s">
        <v>68</v>
      </c>
      <c r="H37" t="s">
        <v>69</v>
      </c>
      <c r="I37" s="4">
        <v>1241.5</v>
      </c>
      <c r="J37">
        <v>2</v>
      </c>
      <c r="K37" s="2">
        <v>0.25</v>
      </c>
      <c r="L37" s="4">
        <v>151.36000000000001</v>
      </c>
      <c r="M37" t="s">
        <v>63</v>
      </c>
      <c r="N37" t="s">
        <v>39</v>
      </c>
      <c r="O37">
        <f>YEAR(Table1[[#This Row],[Order Date]])</f>
        <v>2024</v>
      </c>
      <c r="P37" t="str">
        <f>TEXT(Table1[[#This Row],[Order Date]],"mmmm")</f>
        <v>July</v>
      </c>
      <c r="Q37" t="str">
        <f>TEXT(Table1[[#This Row],[Order Date]],"mm")</f>
        <v>07</v>
      </c>
      <c r="R37" s="2">
        <f>Table1[[#This Row],[Profit]]/Table1[[#This Row],[Sales]]</f>
        <v>0.12191703584373742</v>
      </c>
      <c r="S37" t="str">
        <f t="shared" si="0"/>
        <v>High (21-30%)</v>
      </c>
    </row>
    <row r="38" spans="1:19" x14ac:dyDescent="0.2">
      <c r="A38" t="s">
        <v>181</v>
      </c>
      <c r="B38" s="3" t="s">
        <v>182</v>
      </c>
      <c r="C38" t="s">
        <v>183</v>
      </c>
      <c r="D38" t="s">
        <v>17</v>
      </c>
      <c r="E38" t="s">
        <v>80</v>
      </c>
      <c r="F38" t="s">
        <v>67</v>
      </c>
      <c r="G38" t="s">
        <v>85</v>
      </c>
      <c r="H38" t="s">
        <v>86</v>
      </c>
      <c r="I38" s="4">
        <v>1378.65</v>
      </c>
      <c r="J38">
        <v>7</v>
      </c>
      <c r="K38" s="2">
        <v>0.05</v>
      </c>
      <c r="L38" s="4">
        <v>74.28</v>
      </c>
      <c r="M38" t="s">
        <v>31</v>
      </c>
      <c r="N38" t="s">
        <v>32</v>
      </c>
      <c r="O38">
        <f>YEAR(Table1[[#This Row],[Order Date]])</f>
        <v>2024</v>
      </c>
      <c r="P38" t="str">
        <f>TEXT(Table1[[#This Row],[Order Date]],"mmmm")</f>
        <v>December</v>
      </c>
      <c r="Q38" t="str">
        <f>TEXT(Table1[[#This Row],[Order Date]],"mm")</f>
        <v>12</v>
      </c>
      <c r="R38" s="2">
        <f>Table1[[#This Row],[Profit]]/Table1[[#This Row],[Sales]]</f>
        <v>5.3878794472853875E-2</v>
      </c>
      <c r="S38" t="str">
        <f t="shared" si="0"/>
        <v>Low (1-10%)</v>
      </c>
    </row>
    <row r="39" spans="1:19" x14ac:dyDescent="0.2">
      <c r="A39" t="s">
        <v>184</v>
      </c>
      <c r="B39" s="3" t="s">
        <v>185</v>
      </c>
      <c r="C39" t="s">
        <v>186</v>
      </c>
      <c r="D39" t="s">
        <v>48</v>
      </c>
      <c r="E39" t="s">
        <v>84</v>
      </c>
      <c r="F39" t="s">
        <v>67</v>
      </c>
      <c r="G39" t="s">
        <v>85</v>
      </c>
      <c r="H39" t="s">
        <v>125</v>
      </c>
      <c r="I39" s="4">
        <v>1707.48</v>
      </c>
      <c r="J39">
        <v>3</v>
      </c>
      <c r="K39" s="2">
        <v>0.2</v>
      </c>
      <c r="L39" s="4">
        <v>123.67</v>
      </c>
      <c r="M39" t="s">
        <v>31</v>
      </c>
      <c r="N39" t="s">
        <v>76</v>
      </c>
      <c r="O39">
        <f>YEAR(Table1[[#This Row],[Order Date]])</f>
        <v>2025</v>
      </c>
      <c r="P39" t="str">
        <f>TEXT(Table1[[#This Row],[Order Date]],"mmmm")</f>
        <v>September</v>
      </c>
      <c r="Q39" t="str">
        <f>TEXT(Table1[[#This Row],[Order Date]],"mm")</f>
        <v>09</v>
      </c>
      <c r="R39" s="2">
        <f>Table1[[#This Row],[Profit]]/Table1[[#This Row],[Sales]]</f>
        <v>7.2428373978026095E-2</v>
      </c>
      <c r="S39" t="str">
        <f t="shared" si="0"/>
        <v>Medium (11-20%)</v>
      </c>
    </row>
    <row r="40" spans="1:19" x14ac:dyDescent="0.2">
      <c r="A40" t="s">
        <v>187</v>
      </c>
      <c r="B40" s="3" t="s">
        <v>188</v>
      </c>
      <c r="C40" t="s">
        <v>189</v>
      </c>
      <c r="D40" t="s">
        <v>27</v>
      </c>
      <c r="E40" t="s">
        <v>124</v>
      </c>
      <c r="F40" t="s">
        <v>67</v>
      </c>
      <c r="G40" t="s">
        <v>115</v>
      </c>
      <c r="H40" t="s">
        <v>116</v>
      </c>
      <c r="I40" s="4">
        <v>3156.15</v>
      </c>
      <c r="J40">
        <v>5</v>
      </c>
      <c r="K40" s="2">
        <v>0.25</v>
      </c>
      <c r="L40" s="4">
        <v>-557.66999999999996</v>
      </c>
      <c r="M40" t="s">
        <v>117</v>
      </c>
      <c r="N40" t="s">
        <v>23</v>
      </c>
      <c r="O40">
        <f>YEAR(Table1[[#This Row],[Order Date]])</f>
        <v>2025</v>
      </c>
      <c r="P40" t="str">
        <f>TEXT(Table1[[#This Row],[Order Date]],"mmmm")</f>
        <v>June</v>
      </c>
      <c r="Q40" t="str">
        <f>TEXT(Table1[[#This Row],[Order Date]],"mm")</f>
        <v>06</v>
      </c>
      <c r="R40" s="2">
        <f>Table1[[#This Row],[Profit]]/Table1[[#This Row],[Sales]]</f>
        <v>-0.1766931229504301</v>
      </c>
      <c r="S40" t="str">
        <f t="shared" si="0"/>
        <v>High (21-30%)</v>
      </c>
    </row>
    <row r="41" spans="1:19" x14ac:dyDescent="0.2">
      <c r="A41" t="s">
        <v>190</v>
      </c>
      <c r="B41" s="3" t="s">
        <v>191</v>
      </c>
      <c r="C41" t="s">
        <v>192</v>
      </c>
      <c r="D41" t="s">
        <v>137</v>
      </c>
      <c r="E41" t="s">
        <v>142</v>
      </c>
      <c r="F41" t="s">
        <v>67</v>
      </c>
      <c r="G41" t="s">
        <v>115</v>
      </c>
      <c r="H41" t="s">
        <v>178</v>
      </c>
      <c r="I41" s="4">
        <v>5676.9</v>
      </c>
      <c r="J41">
        <v>10</v>
      </c>
      <c r="K41" s="2">
        <v>0</v>
      </c>
      <c r="L41" s="4">
        <v>897.82</v>
      </c>
      <c r="M41" t="s">
        <v>107</v>
      </c>
      <c r="N41" t="s">
        <v>23</v>
      </c>
      <c r="O41">
        <f>YEAR(Table1[[#This Row],[Order Date]])</f>
        <v>2025</v>
      </c>
      <c r="P41" t="str">
        <f>TEXT(Table1[[#This Row],[Order Date]],"mmmm")</f>
        <v>September</v>
      </c>
      <c r="Q41" t="str">
        <f>TEXT(Table1[[#This Row],[Order Date]],"mm")</f>
        <v>09</v>
      </c>
      <c r="R41" s="2">
        <f>Table1[[#This Row],[Profit]]/Table1[[#This Row],[Sales]]</f>
        <v>0.1581532174250031</v>
      </c>
      <c r="S41" t="str">
        <f t="shared" si="0"/>
        <v>No Discount</v>
      </c>
    </row>
    <row r="42" spans="1:19" x14ac:dyDescent="0.2">
      <c r="A42" t="s">
        <v>193</v>
      </c>
      <c r="B42" s="3" t="s">
        <v>92</v>
      </c>
      <c r="C42" t="s">
        <v>194</v>
      </c>
      <c r="D42" t="s">
        <v>48</v>
      </c>
      <c r="E42" t="s">
        <v>110</v>
      </c>
      <c r="F42" t="s">
        <v>55</v>
      </c>
      <c r="G42" t="s">
        <v>56</v>
      </c>
      <c r="H42" t="s">
        <v>129</v>
      </c>
      <c r="I42" s="4">
        <v>8876.4</v>
      </c>
      <c r="J42">
        <v>10</v>
      </c>
      <c r="K42" s="2">
        <v>0.3</v>
      </c>
      <c r="L42" s="4">
        <v>26.45</v>
      </c>
      <c r="M42" t="s">
        <v>195</v>
      </c>
      <c r="N42" t="s">
        <v>76</v>
      </c>
      <c r="O42">
        <f>YEAR(Table1[[#This Row],[Order Date]])</f>
        <v>2025</v>
      </c>
      <c r="P42" t="str">
        <f>TEXT(Table1[[#This Row],[Order Date]],"mmmm")</f>
        <v>May</v>
      </c>
      <c r="Q42" t="str">
        <f>TEXT(Table1[[#This Row],[Order Date]],"mm")</f>
        <v>05</v>
      </c>
      <c r="R42" s="2">
        <f>Table1[[#This Row],[Profit]]/Table1[[#This Row],[Sales]]</f>
        <v>2.9798116353476635E-3</v>
      </c>
      <c r="S42" t="str">
        <f t="shared" si="0"/>
        <v>High (21-30%)</v>
      </c>
    </row>
    <row r="43" spans="1:19" x14ac:dyDescent="0.2">
      <c r="A43" t="s">
        <v>196</v>
      </c>
      <c r="B43" s="3" t="s">
        <v>197</v>
      </c>
      <c r="C43" t="s">
        <v>198</v>
      </c>
      <c r="D43" t="s">
        <v>48</v>
      </c>
      <c r="E43" t="s">
        <v>49</v>
      </c>
      <c r="F43" t="s">
        <v>19</v>
      </c>
      <c r="G43" t="s">
        <v>29</v>
      </c>
      <c r="H43" t="s">
        <v>199</v>
      </c>
      <c r="I43" s="4">
        <v>7931.8</v>
      </c>
      <c r="J43">
        <v>10</v>
      </c>
      <c r="K43" s="2">
        <v>0</v>
      </c>
      <c r="L43" s="4">
        <v>3114.24</v>
      </c>
      <c r="M43" t="s">
        <v>117</v>
      </c>
      <c r="N43" t="s">
        <v>76</v>
      </c>
      <c r="O43">
        <f>YEAR(Table1[[#This Row],[Order Date]])</f>
        <v>2025</v>
      </c>
      <c r="P43" t="str">
        <f>TEXT(Table1[[#This Row],[Order Date]],"mmmm")</f>
        <v>December</v>
      </c>
      <c r="Q43" t="str">
        <f>TEXT(Table1[[#This Row],[Order Date]],"mm")</f>
        <v>12</v>
      </c>
      <c r="R43" s="2">
        <f>Table1[[#This Row],[Profit]]/Table1[[#This Row],[Sales]]</f>
        <v>0.39262714642325824</v>
      </c>
      <c r="S43" t="str">
        <f t="shared" si="0"/>
        <v>No Discount</v>
      </c>
    </row>
    <row r="44" spans="1:19" x14ac:dyDescent="0.2">
      <c r="A44" t="s">
        <v>200</v>
      </c>
      <c r="B44" s="3" t="s">
        <v>201</v>
      </c>
      <c r="C44" t="s">
        <v>202</v>
      </c>
      <c r="D44" t="s">
        <v>48</v>
      </c>
      <c r="E44" t="s">
        <v>49</v>
      </c>
      <c r="F44" t="s">
        <v>55</v>
      </c>
      <c r="G44" t="s">
        <v>98</v>
      </c>
      <c r="H44" t="s">
        <v>150</v>
      </c>
      <c r="I44" s="4">
        <v>420.83</v>
      </c>
      <c r="J44">
        <v>1</v>
      </c>
      <c r="K44" s="2">
        <v>0.15</v>
      </c>
      <c r="L44" s="4">
        <v>77.02</v>
      </c>
      <c r="M44" t="s">
        <v>143</v>
      </c>
      <c r="N44" t="s">
        <v>32</v>
      </c>
      <c r="O44">
        <f>YEAR(Table1[[#This Row],[Order Date]])</f>
        <v>2024</v>
      </c>
      <c r="P44" t="str">
        <f>TEXT(Table1[[#This Row],[Order Date]],"mmmm")</f>
        <v>October</v>
      </c>
      <c r="Q44" t="str">
        <f>TEXT(Table1[[#This Row],[Order Date]],"mm")</f>
        <v>10</v>
      </c>
      <c r="R44" s="2">
        <f>Table1[[#This Row],[Profit]]/Table1[[#This Row],[Sales]]</f>
        <v>0.18301927143977378</v>
      </c>
      <c r="S44" t="str">
        <f t="shared" si="0"/>
        <v>Medium (11-20%)</v>
      </c>
    </row>
    <row r="45" spans="1:19" x14ac:dyDescent="0.2">
      <c r="A45" t="s">
        <v>203</v>
      </c>
      <c r="B45" s="3" t="s">
        <v>204</v>
      </c>
      <c r="C45" t="s">
        <v>205</v>
      </c>
      <c r="D45" t="s">
        <v>137</v>
      </c>
      <c r="E45" t="s">
        <v>138</v>
      </c>
      <c r="F45" t="s">
        <v>55</v>
      </c>
      <c r="G45" t="s">
        <v>74</v>
      </c>
      <c r="H45" t="s">
        <v>133</v>
      </c>
      <c r="I45" s="4">
        <v>1287.3</v>
      </c>
      <c r="J45">
        <v>2</v>
      </c>
      <c r="K45" s="2">
        <v>0.25</v>
      </c>
      <c r="L45" s="4">
        <v>128.31</v>
      </c>
      <c r="M45" t="s">
        <v>195</v>
      </c>
      <c r="N45" t="s">
        <v>32</v>
      </c>
      <c r="O45">
        <f>YEAR(Table1[[#This Row],[Order Date]])</f>
        <v>2025</v>
      </c>
      <c r="P45" t="str">
        <f>TEXT(Table1[[#This Row],[Order Date]],"mmmm")</f>
        <v>November</v>
      </c>
      <c r="Q45" t="str">
        <f>TEXT(Table1[[#This Row],[Order Date]],"mm")</f>
        <v>11</v>
      </c>
      <c r="R45" s="2">
        <f>Table1[[#This Row],[Profit]]/Table1[[#This Row],[Sales]]</f>
        <v>9.9673735725938017E-2</v>
      </c>
      <c r="S45" t="str">
        <f t="shared" si="0"/>
        <v>High (21-30%)</v>
      </c>
    </row>
    <row r="46" spans="1:19" x14ac:dyDescent="0.2">
      <c r="A46" t="s">
        <v>206</v>
      </c>
      <c r="B46" s="3" t="s">
        <v>207</v>
      </c>
      <c r="C46" t="s">
        <v>208</v>
      </c>
      <c r="D46" t="s">
        <v>48</v>
      </c>
      <c r="E46" t="s">
        <v>49</v>
      </c>
      <c r="F46" t="s">
        <v>67</v>
      </c>
      <c r="G46" t="s">
        <v>115</v>
      </c>
      <c r="H46" t="s">
        <v>116</v>
      </c>
      <c r="I46" s="4">
        <v>34.42</v>
      </c>
      <c r="J46">
        <v>1</v>
      </c>
      <c r="K46" s="2">
        <v>0</v>
      </c>
      <c r="L46" s="4">
        <v>2.4300000000000002</v>
      </c>
      <c r="M46" t="s">
        <v>195</v>
      </c>
      <c r="N46" t="s">
        <v>76</v>
      </c>
      <c r="O46">
        <f>YEAR(Table1[[#This Row],[Order Date]])</f>
        <v>2024</v>
      </c>
      <c r="P46" t="str">
        <f>TEXT(Table1[[#This Row],[Order Date]],"mmmm")</f>
        <v>June</v>
      </c>
      <c r="Q46" t="str">
        <f>TEXT(Table1[[#This Row],[Order Date]],"mm")</f>
        <v>06</v>
      </c>
      <c r="R46" s="2">
        <f>Table1[[#This Row],[Profit]]/Table1[[#This Row],[Sales]]</f>
        <v>7.0598489250435797E-2</v>
      </c>
      <c r="S46" t="str">
        <f t="shared" si="0"/>
        <v>No Discount</v>
      </c>
    </row>
    <row r="47" spans="1:19" x14ac:dyDescent="0.2">
      <c r="A47" t="s">
        <v>209</v>
      </c>
      <c r="B47" s="3" t="s">
        <v>210</v>
      </c>
      <c r="C47" t="s">
        <v>211</v>
      </c>
      <c r="D47" t="s">
        <v>27</v>
      </c>
      <c r="E47" t="s">
        <v>28</v>
      </c>
      <c r="F47" t="s">
        <v>67</v>
      </c>
      <c r="G47" t="s">
        <v>115</v>
      </c>
      <c r="H47" t="s">
        <v>212</v>
      </c>
      <c r="I47" s="4">
        <v>4291.29</v>
      </c>
      <c r="J47">
        <v>9</v>
      </c>
      <c r="K47" s="2">
        <v>0.3</v>
      </c>
      <c r="L47" s="4">
        <v>231.34</v>
      </c>
      <c r="M47" t="s">
        <v>117</v>
      </c>
      <c r="N47" t="s">
        <v>23</v>
      </c>
      <c r="O47">
        <f>YEAR(Table1[[#This Row],[Order Date]])</f>
        <v>2024</v>
      </c>
      <c r="P47" t="str">
        <f>TEXT(Table1[[#This Row],[Order Date]],"mmmm")</f>
        <v>March</v>
      </c>
      <c r="Q47" t="str">
        <f>TEXT(Table1[[#This Row],[Order Date]],"mm")</f>
        <v>03</v>
      </c>
      <c r="R47" s="2">
        <f>Table1[[#This Row],[Profit]]/Table1[[#This Row],[Sales]]</f>
        <v>5.3909197467428213E-2</v>
      </c>
      <c r="S47" t="str">
        <f t="shared" si="0"/>
        <v>High (21-30%)</v>
      </c>
    </row>
    <row r="48" spans="1:19" x14ac:dyDescent="0.2">
      <c r="A48" t="s">
        <v>213</v>
      </c>
      <c r="B48" s="3" t="s">
        <v>214</v>
      </c>
      <c r="C48" t="s">
        <v>215</v>
      </c>
      <c r="D48" t="s">
        <v>48</v>
      </c>
      <c r="E48" t="s">
        <v>49</v>
      </c>
      <c r="F48" t="s">
        <v>67</v>
      </c>
      <c r="G48" t="s">
        <v>85</v>
      </c>
      <c r="H48" t="s">
        <v>86</v>
      </c>
      <c r="I48" s="4">
        <v>9832.6</v>
      </c>
      <c r="J48">
        <v>10</v>
      </c>
      <c r="K48" s="2">
        <v>0.1</v>
      </c>
      <c r="L48" s="4">
        <v>-287.81</v>
      </c>
      <c r="M48" t="s">
        <v>63</v>
      </c>
      <c r="N48" t="s">
        <v>76</v>
      </c>
      <c r="O48">
        <f>YEAR(Table1[[#This Row],[Order Date]])</f>
        <v>2025</v>
      </c>
      <c r="P48" t="str">
        <f>TEXT(Table1[[#This Row],[Order Date]],"mmmm")</f>
        <v>November</v>
      </c>
      <c r="Q48" t="str">
        <f>TEXT(Table1[[#This Row],[Order Date]],"mm")</f>
        <v>11</v>
      </c>
      <c r="R48" s="2">
        <f>Table1[[#This Row],[Profit]]/Table1[[#This Row],[Sales]]</f>
        <v>-2.9270996481093506E-2</v>
      </c>
      <c r="S48" t="str">
        <f t="shared" si="0"/>
        <v>Low (1-10%)</v>
      </c>
    </row>
    <row r="49" spans="1:19" x14ac:dyDescent="0.2">
      <c r="A49" t="s">
        <v>216</v>
      </c>
      <c r="B49" s="3" t="s">
        <v>217</v>
      </c>
      <c r="C49" t="s">
        <v>218</v>
      </c>
      <c r="D49" t="s">
        <v>137</v>
      </c>
      <c r="E49" t="s">
        <v>138</v>
      </c>
      <c r="F49" t="s">
        <v>55</v>
      </c>
      <c r="G49" t="s">
        <v>74</v>
      </c>
      <c r="H49" t="s">
        <v>75</v>
      </c>
      <c r="I49" s="4">
        <v>1748.01</v>
      </c>
      <c r="J49">
        <v>3</v>
      </c>
      <c r="K49" s="2">
        <v>0</v>
      </c>
      <c r="L49" s="4">
        <v>437.68</v>
      </c>
      <c r="M49" t="s">
        <v>31</v>
      </c>
      <c r="N49" t="s">
        <v>39</v>
      </c>
      <c r="O49">
        <f>YEAR(Table1[[#This Row],[Order Date]])</f>
        <v>2025</v>
      </c>
      <c r="P49" t="str">
        <f>TEXT(Table1[[#This Row],[Order Date]],"mmmm")</f>
        <v>August</v>
      </c>
      <c r="Q49" t="str">
        <f>TEXT(Table1[[#This Row],[Order Date]],"mm")</f>
        <v>08</v>
      </c>
      <c r="R49" s="2">
        <f>Table1[[#This Row],[Profit]]/Table1[[#This Row],[Sales]]</f>
        <v>0.25038758359505953</v>
      </c>
      <c r="S49" t="str">
        <f t="shared" si="0"/>
        <v>No Discount</v>
      </c>
    </row>
    <row r="50" spans="1:19" x14ac:dyDescent="0.2">
      <c r="A50" t="s">
        <v>219</v>
      </c>
      <c r="B50" s="3" t="s">
        <v>220</v>
      </c>
      <c r="C50" t="s">
        <v>221</v>
      </c>
      <c r="D50" t="s">
        <v>48</v>
      </c>
      <c r="E50" t="s">
        <v>73</v>
      </c>
      <c r="F50" t="s">
        <v>19</v>
      </c>
      <c r="G50" t="s">
        <v>36</v>
      </c>
      <c r="H50" t="s">
        <v>222</v>
      </c>
      <c r="I50" s="4">
        <v>3379.23</v>
      </c>
      <c r="J50">
        <v>3</v>
      </c>
      <c r="K50" s="2">
        <v>0.15</v>
      </c>
      <c r="L50" s="4">
        <v>254.75</v>
      </c>
      <c r="M50" t="s">
        <v>143</v>
      </c>
      <c r="N50" t="s">
        <v>39</v>
      </c>
      <c r="O50">
        <f>YEAR(Table1[[#This Row],[Order Date]])</f>
        <v>2024</v>
      </c>
      <c r="P50" t="str">
        <f>TEXT(Table1[[#This Row],[Order Date]],"mmmm")</f>
        <v>November</v>
      </c>
      <c r="Q50" t="str">
        <f>TEXT(Table1[[#This Row],[Order Date]],"mm")</f>
        <v>11</v>
      </c>
      <c r="R50" s="2">
        <f>Table1[[#This Row],[Profit]]/Table1[[#This Row],[Sales]]</f>
        <v>7.5386996445935911E-2</v>
      </c>
      <c r="S50" t="str">
        <f t="shared" si="0"/>
        <v>Medium (11-20%)</v>
      </c>
    </row>
    <row r="51" spans="1:19" x14ac:dyDescent="0.2">
      <c r="A51" t="s">
        <v>223</v>
      </c>
      <c r="B51" s="3" t="s">
        <v>224</v>
      </c>
      <c r="C51" t="s">
        <v>225</v>
      </c>
      <c r="D51" t="s">
        <v>137</v>
      </c>
      <c r="E51" t="s">
        <v>160</v>
      </c>
      <c r="F51" t="s">
        <v>55</v>
      </c>
      <c r="G51" t="s">
        <v>98</v>
      </c>
      <c r="H51" t="s">
        <v>99</v>
      </c>
      <c r="I51" s="4">
        <v>144.11000000000001</v>
      </c>
      <c r="J51">
        <v>1</v>
      </c>
      <c r="K51" s="2">
        <v>0.15</v>
      </c>
      <c r="L51" s="4">
        <v>12.24</v>
      </c>
      <c r="M51" t="s">
        <v>143</v>
      </c>
      <c r="N51" t="s">
        <v>76</v>
      </c>
      <c r="O51">
        <f>YEAR(Table1[[#This Row],[Order Date]])</f>
        <v>2025</v>
      </c>
      <c r="P51" t="str">
        <f>TEXT(Table1[[#This Row],[Order Date]],"mmmm")</f>
        <v>May</v>
      </c>
      <c r="Q51" t="str">
        <f>TEXT(Table1[[#This Row],[Order Date]],"mm")</f>
        <v>05</v>
      </c>
      <c r="R51" s="2">
        <f>Table1[[#This Row],[Profit]]/Table1[[#This Row],[Sales]]</f>
        <v>8.4935119006314619E-2</v>
      </c>
      <c r="S51" t="str">
        <f t="shared" si="0"/>
        <v>Medium (11-20%)</v>
      </c>
    </row>
    <row r="52" spans="1:19" x14ac:dyDescent="0.2">
      <c r="A52" t="s">
        <v>226</v>
      </c>
      <c r="B52" s="3" t="s">
        <v>227</v>
      </c>
      <c r="C52" t="s">
        <v>228</v>
      </c>
      <c r="D52" t="s">
        <v>48</v>
      </c>
      <c r="E52" t="s">
        <v>49</v>
      </c>
      <c r="F52" t="s">
        <v>55</v>
      </c>
      <c r="G52" t="s">
        <v>56</v>
      </c>
      <c r="H52" t="s">
        <v>57</v>
      </c>
      <c r="I52" s="4">
        <v>211.6</v>
      </c>
      <c r="J52">
        <v>4</v>
      </c>
      <c r="K52" s="2">
        <v>0.25</v>
      </c>
      <c r="L52" s="4">
        <v>21.45</v>
      </c>
      <c r="M52" t="s">
        <v>117</v>
      </c>
      <c r="N52" t="s">
        <v>39</v>
      </c>
      <c r="O52">
        <f>YEAR(Table1[[#This Row],[Order Date]])</f>
        <v>2025</v>
      </c>
      <c r="P52" t="str">
        <f>TEXT(Table1[[#This Row],[Order Date]],"mmmm")</f>
        <v>November</v>
      </c>
      <c r="Q52" t="str">
        <f>TEXT(Table1[[#This Row],[Order Date]],"mm")</f>
        <v>11</v>
      </c>
      <c r="R52" s="2">
        <f>Table1[[#This Row],[Profit]]/Table1[[#This Row],[Sales]]</f>
        <v>0.10137051039697542</v>
      </c>
      <c r="S52" t="str">
        <f t="shared" si="0"/>
        <v>High (21-30%)</v>
      </c>
    </row>
    <row r="53" spans="1:19" x14ac:dyDescent="0.2">
      <c r="A53" t="s">
        <v>229</v>
      </c>
      <c r="B53" s="3" t="s">
        <v>230</v>
      </c>
      <c r="C53" t="s">
        <v>175</v>
      </c>
      <c r="D53" t="s">
        <v>48</v>
      </c>
      <c r="E53" t="s">
        <v>84</v>
      </c>
      <c r="F53" t="s">
        <v>19</v>
      </c>
      <c r="G53" t="s">
        <v>36</v>
      </c>
      <c r="H53" t="s">
        <v>37</v>
      </c>
      <c r="I53" s="4">
        <v>2255.5</v>
      </c>
      <c r="J53">
        <v>2</v>
      </c>
      <c r="K53" s="2">
        <v>0.25</v>
      </c>
      <c r="L53" s="4">
        <v>161.21</v>
      </c>
      <c r="M53" t="s">
        <v>38</v>
      </c>
      <c r="N53" t="s">
        <v>23</v>
      </c>
      <c r="O53">
        <f>YEAR(Table1[[#This Row],[Order Date]])</f>
        <v>2025</v>
      </c>
      <c r="P53" t="str">
        <f>TEXT(Table1[[#This Row],[Order Date]],"mmmm")</f>
        <v>March</v>
      </c>
      <c r="Q53" t="str">
        <f>TEXT(Table1[[#This Row],[Order Date]],"mm")</f>
        <v>03</v>
      </c>
      <c r="R53" s="2">
        <f>Table1[[#This Row],[Profit]]/Table1[[#This Row],[Sales]]</f>
        <v>7.1474174240744856E-2</v>
      </c>
      <c r="S53" t="str">
        <f t="shared" si="0"/>
        <v>High (21-30%)</v>
      </c>
    </row>
    <row r="54" spans="1:19" x14ac:dyDescent="0.2">
      <c r="A54" t="s">
        <v>231</v>
      </c>
      <c r="B54" s="3" t="s">
        <v>232</v>
      </c>
      <c r="C54" t="s">
        <v>194</v>
      </c>
      <c r="D54" t="s">
        <v>17</v>
      </c>
      <c r="E54" t="s">
        <v>80</v>
      </c>
      <c r="F54" t="s">
        <v>55</v>
      </c>
      <c r="G54" t="s">
        <v>98</v>
      </c>
      <c r="H54" t="s">
        <v>154</v>
      </c>
      <c r="I54" s="4">
        <v>6092.17</v>
      </c>
      <c r="J54">
        <v>7</v>
      </c>
      <c r="K54" s="2">
        <v>0.2</v>
      </c>
      <c r="L54" s="4">
        <v>-501.55</v>
      </c>
      <c r="M54" t="s">
        <v>143</v>
      </c>
      <c r="N54" t="s">
        <v>39</v>
      </c>
      <c r="O54">
        <f>YEAR(Table1[[#This Row],[Order Date]])</f>
        <v>2024</v>
      </c>
      <c r="P54" t="str">
        <f>TEXT(Table1[[#This Row],[Order Date]],"mmmm")</f>
        <v>September</v>
      </c>
      <c r="Q54" t="str">
        <f>TEXT(Table1[[#This Row],[Order Date]],"mm")</f>
        <v>09</v>
      </c>
      <c r="R54" s="2">
        <f>Table1[[#This Row],[Profit]]/Table1[[#This Row],[Sales]]</f>
        <v>-8.2326986935689586E-2</v>
      </c>
      <c r="S54" t="str">
        <f t="shared" si="0"/>
        <v>Medium (11-20%)</v>
      </c>
    </row>
    <row r="55" spans="1:19" x14ac:dyDescent="0.2">
      <c r="A55" t="s">
        <v>233</v>
      </c>
      <c r="B55" s="3" t="s">
        <v>234</v>
      </c>
      <c r="C55" t="s">
        <v>235</v>
      </c>
      <c r="D55" t="s">
        <v>17</v>
      </c>
      <c r="E55" t="s">
        <v>54</v>
      </c>
      <c r="F55" t="s">
        <v>55</v>
      </c>
      <c r="G55" t="s">
        <v>74</v>
      </c>
      <c r="H55" t="s">
        <v>75</v>
      </c>
      <c r="I55" s="4">
        <v>6303.06</v>
      </c>
      <c r="J55">
        <v>9</v>
      </c>
      <c r="K55" s="2">
        <v>0.15</v>
      </c>
      <c r="L55" s="4">
        <v>-535.28</v>
      </c>
      <c r="M55" t="s">
        <v>38</v>
      </c>
      <c r="N55" t="s">
        <v>39</v>
      </c>
      <c r="O55">
        <f>YEAR(Table1[[#This Row],[Order Date]])</f>
        <v>2025</v>
      </c>
      <c r="P55" t="str">
        <f>TEXT(Table1[[#This Row],[Order Date]],"mmmm")</f>
        <v>March</v>
      </c>
      <c r="Q55" t="str">
        <f>TEXT(Table1[[#This Row],[Order Date]],"mm")</f>
        <v>03</v>
      </c>
      <c r="R55" s="2">
        <f>Table1[[#This Row],[Profit]]/Table1[[#This Row],[Sales]]</f>
        <v>-8.4923830647336357E-2</v>
      </c>
      <c r="S55" t="str">
        <f t="shared" si="0"/>
        <v>Medium (11-20%)</v>
      </c>
    </row>
    <row r="56" spans="1:19" x14ac:dyDescent="0.2">
      <c r="A56" t="s">
        <v>236</v>
      </c>
      <c r="B56" s="3" t="s">
        <v>237</v>
      </c>
      <c r="C56" t="s">
        <v>238</v>
      </c>
      <c r="D56" t="s">
        <v>27</v>
      </c>
      <c r="E56" t="s">
        <v>124</v>
      </c>
      <c r="F56" t="s">
        <v>19</v>
      </c>
      <c r="G56" t="s">
        <v>20</v>
      </c>
      <c r="H56" t="s">
        <v>239</v>
      </c>
      <c r="I56" s="4">
        <v>4241.28</v>
      </c>
      <c r="J56">
        <v>4</v>
      </c>
      <c r="K56" s="2">
        <v>0.1</v>
      </c>
      <c r="L56" s="4">
        <v>-99.53</v>
      </c>
      <c r="M56" t="s">
        <v>22</v>
      </c>
      <c r="N56" t="s">
        <v>32</v>
      </c>
      <c r="O56">
        <f>YEAR(Table1[[#This Row],[Order Date]])</f>
        <v>2025</v>
      </c>
      <c r="P56" t="str">
        <f>TEXT(Table1[[#This Row],[Order Date]],"mmmm")</f>
        <v>April</v>
      </c>
      <c r="Q56" t="str">
        <f>TEXT(Table1[[#This Row],[Order Date]],"mm")</f>
        <v>04</v>
      </c>
      <c r="R56" s="2">
        <f>Table1[[#This Row],[Profit]]/Table1[[#This Row],[Sales]]</f>
        <v>-2.3466972234797046E-2</v>
      </c>
      <c r="S56" t="str">
        <f t="shared" si="0"/>
        <v>Low (1-10%)</v>
      </c>
    </row>
    <row r="57" spans="1:19" x14ac:dyDescent="0.2">
      <c r="A57" t="s">
        <v>240</v>
      </c>
      <c r="B57" s="3" t="s">
        <v>241</v>
      </c>
      <c r="C57" t="s">
        <v>83</v>
      </c>
      <c r="D57" t="s">
        <v>137</v>
      </c>
      <c r="E57" t="s">
        <v>242</v>
      </c>
      <c r="F57" t="s">
        <v>55</v>
      </c>
      <c r="G57" t="s">
        <v>56</v>
      </c>
      <c r="H57" t="s">
        <v>129</v>
      </c>
      <c r="I57" s="4">
        <v>4413.8999999999996</v>
      </c>
      <c r="J57">
        <v>5</v>
      </c>
      <c r="K57" s="2">
        <v>0.1</v>
      </c>
      <c r="L57" s="4">
        <v>1054.78</v>
      </c>
      <c r="M57" t="s">
        <v>87</v>
      </c>
      <c r="N57" t="s">
        <v>32</v>
      </c>
      <c r="O57">
        <f>YEAR(Table1[[#This Row],[Order Date]])</f>
        <v>2025</v>
      </c>
      <c r="P57" t="str">
        <f>TEXT(Table1[[#This Row],[Order Date]],"mmmm")</f>
        <v>July</v>
      </c>
      <c r="Q57" t="str">
        <f>TEXT(Table1[[#This Row],[Order Date]],"mm")</f>
        <v>07</v>
      </c>
      <c r="R57" s="2">
        <f>Table1[[#This Row],[Profit]]/Table1[[#This Row],[Sales]]</f>
        <v>0.23896780624844244</v>
      </c>
      <c r="S57" t="str">
        <f t="shared" si="0"/>
        <v>Low (1-10%)</v>
      </c>
    </row>
    <row r="58" spans="1:19" x14ac:dyDescent="0.2">
      <c r="A58" t="s">
        <v>243</v>
      </c>
      <c r="B58" s="3" t="s">
        <v>244</v>
      </c>
      <c r="C58" t="s">
        <v>102</v>
      </c>
      <c r="D58" t="s">
        <v>48</v>
      </c>
      <c r="E58" t="s">
        <v>84</v>
      </c>
      <c r="F58" t="s">
        <v>19</v>
      </c>
      <c r="G58" t="s">
        <v>36</v>
      </c>
      <c r="H58" t="s">
        <v>111</v>
      </c>
      <c r="I58" s="4">
        <v>631.05999999999995</v>
      </c>
      <c r="J58">
        <v>2</v>
      </c>
      <c r="K58" s="2">
        <v>0.2</v>
      </c>
      <c r="L58" s="4">
        <v>33.47</v>
      </c>
      <c r="M58" t="s">
        <v>117</v>
      </c>
      <c r="N58" t="s">
        <v>32</v>
      </c>
      <c r="O58">
        <f>YEAR(Table1[[#This Row],[Order Date]])</f>
        <v>2025</v>
      </c>
      <c r="P58" t="str">
        <f>TEXT(Table1[[#This Row],[Order Date]],"mmmm")</f>
        <v>March</v>
      </c>
      <c r="Q58" t="str">
        <f>TEXT(Table1[[#This Row],[Order Date]],"mm")</f>
        <v>03</v>
      </c>
      <c r="R58" s="2">
        <f>Table1[[#This Row],[Profit]]/Table1[[#This Row],[Sales]]</f>
        <v>5.3037746014642034E-2</v>
      </c>
      <c r="S58" t="str">
        <f t="shared" si="0"/>
        <v>Medium (11-20%)</v>
      </c>
    </row>
    <row r="59" spans="1:19" x14ac:dyDescent="0.2">
      <c r="A59" t="s">
        <v>245</v>
      </c>
      <c r="B59" s="3" t="s">
        <v>246</v>
      </c>
      <c r="C59" t="s">
        <v>106</v>
      </c>
      <c r="D59" t="s">
        <v>27</v>
      </c>
      <c r="E59" t="s">
        <v>28</v>
      </c>
      <c r="F59" t="s">
        <v>55</v>
      </c>
      <c r="G59" t="s">
        <v>98</v>
      </c>
      <c r="H59" t="s">
        <v>150</v>
      </c>
      <c r="I59" s="4">
        <v>3151.8</v>
      </c>
      <c r="J59">
        <v>3</v>
      </c>
      <c r="K59" s="2">
        <v>0.15</v>
      </c>
      <c r="L59" s="4">
        <v>-313.58999999999997</v>
      </c>
      <c r="M59" t="s">
        <v>38</v>
      </c>
      <c r="N59" t="s">
        <v>39</v>
      </c>
      <c r="O59">
        <f>YEAR(Table1[[#This Row],[Order Date]])</f>
        <v>2025</v>
      </c>
      <c r="P59" t="str">
        <f>TEXT(Table1[[#This Row],[Order Date]],"mmmm")</f>
        <v>August</v>
      </c>
      <c r="Q59" t="str">
        <f>TEXT(Table1[[#This Row],[Order Date]],"mm")</f>
        <v>08</v>
      </c>
      <c r="R59" s="2">
        <f>Table1[[#This Row],[Profit]]/Table1[[#This Row],[Sales]]</f>
        <v>-9.9495526365886142E-2</v>
      </c>
      <c r="S59" t="str">
        <f t="shared" si="0"/>
        <v>Medium (11-20%)</v>
      </c>
    </row>
    <row r="60" spans="1:19" x14ac:dyDescent="0.2">
      <c r="A60" t="s">
        <v>247</v>
      </c>
      <c r="B60" s="3" t="s">
        <v>248</v>
      </c>
      <c r="C60" t="s">
        <v>249</v>
      </c>
      <c r="D60" t="s">
        <v>137</v>
      </c>
      <c r="E60" t="s">
        <v>142</v>
      </c>
      <c r="F60" t="s">
        <v>55</v>
      </c>
      <c r="G60" t="s">
        <v>98</v>
      </c>
      <c r="H60" t="s">
        <v>154</v>
      </c>
      <c r="I60" s="4">
        <v>481.87</v>
      </c>
      <c r="J60">
        <v>1</v>
      </c>
      <c r="K60" s="2">
        <v>0</v>
      </c>
      <c r="L60" s="4">
        <v>68.03</v>
      </c>
      <c r="M60" t="s">
        <v>63</v>
      </c>
      <c r="N60" t="s">
        <v>23</v>
      </c>
      <c r="O60">
        <f>YEAR(Table1[[#This Row],[Order Date]])</f>
        <v>2025</v>
      </c>
      <c r="P60" t="str">
        <f>TEXT(Table1[[#This Row],[Order Date]],"mmmm")</f>
        <v>May</v>
      </c>
      <c r="Q60" t="str">
        <f>TEXT(Table1[[#This Row],[Order Date]],"mm")</f>
        <v>05</v>
      </c>
      <c r="R60" s="2">
        <f>Table1[[#This Row],[Profit]]/Table1[[#This Row],[Sales]]</f>
        <v>0.14117915620395544</v>
      </c>
      <c r="S60" t="str">
        <f t="shared" si="0"/>
        <v>No Discount</v>
      </c>
    </row>
    <row r="61" spans="1:19" x14ac:dyDescent="0.2">
      <c r="A61" t="s">
        <v>250</v>
      </c>
      <c r="B61" s="3" t="s">
        <v>251</v>
      </c>
      <c r="C61" t="s">
        <v>252</v>
      </c>
      <c r="D61" t="s">
        <v>27</v>
      </c>
      <c r="E61" t="s">
        <v>61</v>
      </c>
      <c r="F61" t="s">
        <v>67</v>
      </c>
      <c r="G61" t="s">
        <v>85</v>
      </c>
      <c r="H61" t="s">
        <v>253</v>
      </c>
      <c r="I61" s="4">
        <v>227.48</v>
      </c>
      <c r="J61">
        <v>4</v>
      </c>
      <c r="K61" s="2">
        <v>0</v>
      </c>
      <c r="L61" s="4">
        <v>26.5</v>
      </c>
      <c r="M61" t="s">
        <v>22</v>
      </c>
      <c r="N61" t="s">
        <v>32</v>
      </c>
      <c r="O61">
        <f>YEAR(Table1[[#This Row],[Order Date]])</f>
        <v>2024</v>
      </c>
      <c r="P61" t="str">
        <f>TEXT(Table1[[#This Row],[Order Date]],"mmmm")</f>
        <v>April</v>
      </c>
      <c r="Q61" t="str">
        <f>TEXT(Table1[[#This Row],[Order Date]],"mm")</f>
        <v>04</v>
      </c>
      <c r="R61" s="2">
        <f>Table1[[#This Row],[Profit]]/Table1[[#This Row],[Sales]]</f>
        <v>0.11649375769298401</v>
      </c>
      <c r="S61" t="str">
        <f t="shared" si="0"/>
        <v>No Discount</v>
      </c>
    </row>
    <row r="62" spans="1:19" x14ac:dyDescent="0.2">
      <c r="A62" t="s">
        <v>254</v>
      </c>
      <c r="B62" s="3" t="s">
        <v>255</v>
      </c>
      <c r="C62" t="s">
        <v>256</v>
      </c>
      <c r="D62" t="s">
        <v>48</v>
      </c>
      <c r="E62" t="s">
        <v>73</v>
      </c>
      <c r="F62" t="s">
        <v>19</v>
      </c>
      <c r="G62" t="s">
        <v>36</v>
      </c>
      <c r="H62" t="s">
        <v>37</v>
      </c>
      <c r="I62" s="4">
        <v>393.15</v>
      </c>
      <c r="J62">
        <v>1</v>
      </c>
      <c r="K62" s="2">
        <v>0.25</v>
      </c>
      <c r="L62" s="4">
        <v>65.510000000000005</v>
      </c>
      <c r="M62" t="s">
        <v>107</v>
      </c>
      <c r="N62" t="s">
        <v>32</v>
      </c>
      <c r="O62">
        <f>YEAR(Table1[[#This Row],[Order Date]])</f>
        <v>2024</v>
      </c>
      <c r="P62" t="str">
        <f>TEXT(Table1[[#This Row],[Order Date]],"mmmm")</f>
        <v>April</v>
      </c>
      <c r="Q62" t="str">
        <f>TEXT(Table1[[#This Row],[Order Date]],"mm")</f>
        <v>04</v>
      </c>
      <c r="R62" s="2">
        <f>Table1[[#This Row],[Profit]]/Table1[[#This Row],[Sales]]</f>
        <v>0.16662851329009287</v>
      </c>
      <c r="S62" t="str">
        <f t="shared" si="0"/>
        <v>High (21-30%)</v>
      </c>
    </row>
    <row r="63" spans="1:19" x14ac:dyDescent="0.2">
      <c r="A63" t="s">
        <v>257</v>
      </c>
      <c r="B63" s="3" t="s">
        <v>258</v>
      </c>
      <c r="C63" t="s">
        <v>259</v>
      </c>
      <c r="D63" t="s">
        <v>48</v>
      </c>
      <c r="E63" t="s">
        <v>73</v>
      </c>
      <c r="F63" t="s">
        <v>19</v>
      </c>
      <c r="G63" t="s">
        <v>36</v>
      </c>
      <c r="H63" t="s">
        <v>37</v>
      </c>
      <c r="I63" s="4">
        <v>6072.3</v>
      </c>
      <c r="J63">
        <v>6</v>
      </c>
      <c r="K63" s="2">
        <v>0.05</v>
      </c>
      <c r="L63" s="4">
        <v>1513.48</v>
      </c>
      <c r="M63" t="s">
        <v>143</v>
      </c>
      <c r="N63" t="s">
        <v>76</v>
      </c>
      <c r="O63">
        <f>YEAR(Table1[[#This Row],[Order Date]])</f>
        <v>2024</v>
      </c>
      <c r="P63" t="str">
        <f>TEXT(Table1[[#This Row],[Order Date]],"mmmm")</f>
        <v>September</v>
      </c>
      <c r="Q63" t="str">
        <f>TEXT(Table1[[#This Row],[Order Date]],"mm")</f>
        <v>09</v>
      </c>
      <c r="R63" s="2">
        <f>Table1[[#This Row],[Profit]]/Table1[[#This Row],[Sales]]</f>
        <v>0.24924328508143537</v>
      </c>
      <c r="S63" t="str">
        <f t="shared" si="0"/>
        <v>Low (1-10%)</v>
      </c>
    </row>
    <row r="64" spans="1:19" x14ac:dyDescent="0.2">
      <c r="A64" t="s">
        <v>260</v>
      </c>
      <c r="B64" s="3" t="s">
        <v>261</v>
      </c>
      <c r="C64" t="s">
        <v>262</v>
      </c>
      <c r="D64" t="s">
        <v>17</v>
      </c>
      <c r="E64" t="s">
        <v>80</v>
      </c>
      <c r="F64" t="s">
        <v>67</v>
      </c>
      <c r="G64" t="s">
        <v>85</v>
      </c>
      <c r="H64" t="s">
        <v>253</v>
      </c>
      <c r="I64" s="4">
        <v>4085.88</v>
      </c>
      <c r="J64">
        <v>4</v>
      </c>
      <c r="K64" s="2">
        <v>0.25</v>
      </c>
      <c r="L64" s="4">
        <v>-435.9</v>
      </c>
      <c r="M64" t="s">
        <v>22</v>
      </c>
      <c r="N64" t="s">
        <v>76</v>
      </c>
      <c r="O64">
        <f>YEAR(Table1[[#This Row],[Order Date]])</f>
        <v>2024</v>
      </c>
      <c r="P64" t="str">
        <f>TEXT(Table1[[#This Row],[Order Date]],"mmmm")</f>
        <v>February</v>
      </c>
      <c r="Q64" t="str">
        <f>TEXT(Table1[[#This Row],[Order Date]],"mm")</f>
        <v>02</v>
      </c>
      <c r="R64" s="2">
        <f>Table1[[#This Row],[Profit]]/Table1[[#This Row],[Sales]]</f>
        <v>-0.10668448412581867</v>
      </c>
      <c r="S64" t="str">
        <f t="shared" si="0"/>
        <v>High (21-30%)</v>
      </c>
    </row>
    <row r="65" spans="1:19" x14ac:dyDescent="0.2">
      <c r="A65" t="s">
        <v>263</v>
      </c>
      <c r="B65" s="3" t="s">
        <v>264</v>
      </c>
      <c r="C65" t="s">
        <v>265</v>
      </c>
      <c r="D65" t="s">
        <v>137</v>
      </c>
      <c r="E65" t="s">
        <v>242</v>
      </c>
      <c r="F65" t="s">
        <v>55</v>
      </c>
      <c r="G65" t="s">
        <v>98</v>
      </c>
      <c r="H65" t="s">
        <v>99</v>
      </c>
      <c r="I65" s="4">
        <v>1820.8</v>
      </c>
      <c r="J65">
        <v>2</v>
      </c>
      <c r="K65" s="2">
        <v>0.05</v>
      </c>
      <c r="L65" s="4">
        <v>538.82000000000005</v>
      </c>
      <c r="M65" t="s">
        <v>38</v>
      </c>
      <c r="N65" t="s">
        <v>32</v>
      </c>
      <c r="O65">
        <f>YEAR(Table1[[#This Row],[Order Date]])</f>
        <v>2025</v>
      </c>
      <c r="P65" t="str">
        <f>TEXT(Table1[[#This Row],[Order Date]],"mmmm")</f>
        <v>February</v>
      </c>
      <c r="Q65" t="str">
        <f>TEXT(Table1[[#This Row],[Order Date]],"mm")</f>
        <v>02</v>
      </c>
      <c r="R65" s="2">
        <f>Table1[[#This Row],[Profit]]/Table1[[#This Row],[Sales]]</f>
        <v>0.29592486818980673</v>
      </c>
      <c r="S65" t="str">
        <f t="shared" si="0"/>
        <v>Low (1-10%)</v>
      </c>
    </row>
    <row r="66" spans="1:19" x14ac:dyDescent="0.2">
      <c r="A66" t="s">
        <v>266</v>
      </c>
      <c r="B66" s="3" t="s">
        <v>267</v>
      </c>
      <c r="C66" t="s">
        <v>268</v>
      </c>
      <c r="D66" t="s">
        <v>137</v>
      </c>
      <c r="E66" t="s">
        <v>160</v>
      </c>
      <c r="F66" t="s">
        <v>55</v>
      </c>
      <c r="G66" t="s">
        <v>56</v>
      </c>
      <c r="H66" t="s">
        <v>57</v>
      </c>
      <c r="I66" s="4">
        <v>200.08</v>
      </c>
      <c r="J66">
        <v>1</v>
      </c>
      <c r="K66" s="2">
        <v>0.05</v>
      </c>
      <c r="L66" s="4">
        <v>36.46</v>
      </c>
      <c r="M66" t="s">
        <v>107</v>
      </c>
      <c r="N66" t="s">
        <v>39</v>
      </c>
      <c r="O66">
        <f>YEAR(Table1[[#This Row],[Order Date]])</f>
        <v>2024</v>
      </c>
      <c r="P66" t="str">
        <f>TEXT(Table1[[#This Row],[Order Date]],"mmmm")</f>
        <v>October</v>
      </c>
      <c r="Q66" t="str">
        <f>TEXT(Table1[[#This Row],[Order Date]],"mm")</f>
        <v>10</v>
      </c>
      <c r="R66" s="2">
        <f>Table1[[#This Row],[Profit]]/Table1[[#This Row],[Sales]]</f>
        <v>0.18222710915633747</v>
      </c>
      <c r="S66" t="str">
        <f t="shared" ref="S66:S129" si="1">IF(K66=0,"No Discount",
IF(K66&lt;=0.1,"Low (1-10%)",
IF(K66&lt;=0.2,"Medium (11-20%)",
IF(K66&lt;=0.3,"High (21-30%)","Very High (&gt;30%)"))))</f>
        <v>Low (1-10%)</v>
      </c>
    </row>
    <row r="67" spans="1:19" x14ac:dyDescent="0.2">
      <c r="A67" t="s">
        <v>269</v>
      </c>
      <c r="B67" s="3" t="s">
        <v>270</v>
      </c>
      <c r="C67" t="s">
        <v>271</v>
      </c>
      <c r="D67" t="s">
        <v>137</v>
      </c>
      <c r="E67" t="s">
        <v>142</v>
      </c>
      <c r="F67" t="s">
        <v>55</v>
      </c>
      <c r="G67" t="s">
        <v>74</v>
      </c>
      <c r="H67" t="s">
        <v>272</v>
      </c>
      <c r="I67" s="4">
        <v>1923.48</v>
      </c>
      <c r="J67">
        <v>6</v>
      </c>
      <c r="K67" s="2">
        <v>0</v>
      </c>
      <c r="L67" s="4">
        <v>725.05</v>
      </c>
      <c r="M67" t="s">
        <v>31</v>
      </c>
      <c r="N67" t="s">
        <v>39</v>
      </c>
      <c r="O67">
        <f>YEAR(Table1[[#This Row],[Order Date]])</f>
        <v>2025</v>
      </c>
      <c r="P67" t="str">
        <f>TEXT(Table1[[#This Row],[Order Date]],"mmmm")</f>
        <v>February</v>
      </c>
      <c r="Q67" t="str">
        <f>TEXT(Table1[[#This Row],[Order Date]],"mm")</f>
        <v>02</v>
      </c>
      <c r="R67" s="2">
        <f>Table1[[#This Row],[Profit]]/Table1[[#This Row],[Sales]]</f>
        <v>0.37694699191049552</v>
      </c>
      <c r="S67" t="str">
        <f t="shared" si="1"/>
        <v>No Discount</v>
      </c>
    </row>
    <row r="68" spans="1:19" x14ac:dyDescent="0.2">
      <c r="A68" t="s">
        <v>273</v>
      </c>
      <c r="B68" s="3" t="s">
        <v>274</v>
      </c>
      <c r="C68" t="s">
        <v>275</v>
      </c>
      <c r="D68" t="s">
        <v>48</v>
      </c>
      <c r="E68" t="s">
        <v>49</v>
      </c>
      <c r="F68" t="s">
        <v>67</v>
      </c>
      <c r="G68" t="s">
        <v>68</v>
      </c>
      <c r="H68" t="s">
        <v>103</v>
      </c>
      <c r="I68" s="4">
        <v>1025.8800000000001</v>
      </c>
      <c r="J68">
        <v>1</v>
      </c>
      <c r="K68" s="2">
        <v>0.1</v>
      </c>
      <c r="L68" s="4">
        <v>231.44</v>
      </c>
      <c r="M68" t="s">
        <v>143</v>
      </c>
      <c r="N68" t="s">
        <v>32</v>
      </c>
      <c r="O68">
        <f>YEAR(Table1[[#This Row],[Order Date]])</f>
        <v>2024</v>
      </c>
      <c r="P68" t="str">
        <f>TEXT(Table1[[#This Row],[Order Date]],"mmmm")</f>
        <v>November</v>
      </c>
      <c r="Q68" t="str">
        <f>TEXT(Table1[[#This Row],[Order Date]],"mm")</f>
        <v>11</v>
      </c>
      <c r="R68" s="2">
        <f>Table1[[#This Row],[Profit]]/Table1[[#This Row],[Sales]]</f>
        <v>0.22560143486567627</v>
      </c>
      <c r="S68" t="str">
        <f t="shared" si="1"/>
        <v>Low (1-10%)</v>
      </c>
    </row>
    <row r="69" spans="1:19" x14ac:dyDescent="0.2">
      <c r="A69" t="s">
        <v>276</v>
      </c>
      <c r="B69" s="3" t="s">
        <v>277</v>
      </c>
      <c r="C69" t="s">
        <v>278</v>
      </c>
      <c r="D69" t="s">
        <v>137</v>
      </c>
      <c r="E69" t="s">
        <v>138</v>
      </c>
      <c r="F69" t="s">
        <v>55</v>
      </c>
      <c r="G69" t="s">
        <v>74</v>
      </c>
      <c r="H69" t="s">
        <v>133</v>
      </c>
      <c r="I69" s="4">
        <v>650.30999999999995</v>
      </c>
      <c r="J69">
        <v>3</v>
      </c>
      <c r="K69" s="2">
        <v>0</v>
      </c>
      <c r="L69" s="4">
        <v>44.81</v>
      </c>
      <c r="M69" t="s">
        <v>22</v>
      </c>
      <c r="N69" t="s">
        <v>23</v>
      </c>
      <c r="O69">
        <f>YEAR(Table1[[#This Row],[Order Date]])</f>
        <v>2025</v>
      </c>
      <c r="P69" t="str">
        <f>TEXT(Table1[[#This Row],[Order Date]],"mmmm")</f>
        <v>December</v>
      </c>
      <c r="Q69" t="str">
        <f>TEXT(Table1[[#This Row],[Order Date]],"mm")</f>
        <v>12</v>
      </c>
      <c r="R69" s="2">
        <f>Table1[[#This Row],[Profit]]/Table1[[#This Row],[Sales]]</f>
        <v>6.8905598868232082E-2</v>
      </c>
      <c r="S69" t="str">
        <f t="shared" si="1"/>
        <v>No Discount</v>
      </c>
    </row>
    <row r="70" spans="1:19" x14ac:dyDescent="0.2">
      <c r="A70" t="s">
        <v>279</v>
      </c>
      <c r="B70" s="3" t="s">
        <v>280</v>
      </c>
      <c r="C70" t="s">
        <v>281</v>
      </c>
      <c r="D70" t="s">
        <v>48</v>
      </c>
      <c r="E70" t="s">
        <v>84</v>
      </c>
      <c r="F70" t="s">
        <v>19</v>
      </c>
      <c r="G70" t="s">
        <v>29</v>
      </c>
      <c r="H70" t="s">
        <v>30</v>
      </c>
      <c r="I70" s="4">
        <v>5336.1</v>
      </c>
      <c r="J70">
        <v>7</v>
      </c>
      <c r="K70" s="2">
        <v>0.3</v>
      </c>
      <c r="L70" s="4">
        <v>-195.73</v>
      </c>
      <c r="M70" t="s">
        <v>31</v>
      </c>
      <c r="N70" t="s">
        <v>76</v>
      </c>
      <c r="O70">
        <f>YEAR(Table1[[#This Row],[Order Date]])</f>
        <v>2024</v>
      </c>
      <c r="P70" t="str">
        <f>TEXT(Table1[[#This Row],[Order Date]],"mmmm")</f>
        <v>May</v>
      </c>
      <c r="Q70" t="str">
        <f>TEXT(Table1[[#This Row],[Order Date]],"mm")</f>
        <v>05</v>
      </c>
      <c r="R70" s="2">
        <f>Table1[[#This Row],[Profit]]/Table1[[#This Row],[Sales]]</f>
        <v>-3.6680347069957459E-2</v>
      </c>
      <c r="S70" t="str">
        <f t="shared" si="1"/>
        <v>High (21-30%)</v>
      </c>
    </row>
    <row r="71" spans="1:19" x14ac:dyDescent="0.2">
      <c r="A71" t="s">
        <v>282</v>
      </c>
      <c r="B71" s="3" t="s">
        <v>283</v>
      </c>
      <c r="C71" t="s">
        <v>265</v>
      </c>
      <c r="D71" t="s">
        <v>48</v>
      </c>
      <c r="E71" t="s">
        <v>49</v>
      </c>
      <c r="F71" t="s">
        <v>67</v>
      </c>
      <c r="G71" t="s">
        <v>68</v>
      </c>
      <c r="H71" t="s">
        <v>103</v>
      </c>
      <c r="I71" s="4">
        <v>1407.5</v>
      </c>
      <c r="J71">
        <v>10</v>
      </c>
      <c r="K71" s="2">
        <v>0.15</v>
      </c>
      <c r="L71" s="4">
        <v>-29.92</v>
      </c>
      <c r="M71" t="s">
        <v>38</v>
      </c>
      <c r="N71" t="s">
        <v>23</v>
      </c>
      <c r="O71">
        <f>YEAR(Table1[[#This Row],[Order Date]])</f>
        <v>2025</v>
      </c>
      <c r="P71" t="str">
        <f>TEXT(Table1[[#This Row],[Order Date]],"mmmm")</f>
        <v>August</v>
      </c>
      <c r="Q71" t="str">
        <f>TEXT(Table1[[#This Row],[Order Date]],"mm")</f>
        <v>08</v>
      </c>
      <c r="R71" s="2">
        <f>Table1[[#This Row],[Profit]]/Table1[[#This Row],[Sales]]</f>
        <v>-2.1257548845470695E-2</v>
      </c>
      <c r="S71" t="str">
        <f t="shared" si="1"/>
        <v>Medium (11-20%)</v>
      </c>
    </row>
    <row r="72" spans="1:19" x14ac:dyDescent="0.2">
      <c r="A72" t="s">
        <v>284</v>
      </c>
      <c r="B72" s="3" t="s">
        <v>285</v>
      </c>
      <c r="C72" t="s">
        <v>286</v>
      </c>
      <c r="D72" t="s">
        <v>17</v>
      </c>
      <c r="E72" t="s">
        <v>18</v>
      </c>
      <c r="F72" t="s">
        <v>55</v>
      </c>
      <c r="G72" t="s">
        <v>98</v>
      </c>
      <c r="H72" t="s">
        <v>154</v>
      </c>
      <c r="I72" s="4">
        <v>7536.51</v>
      </c>
      <c r="J72">
        <v>9</v>
      </c>
      <c r="K72" s="2">
        <v>0.05</v>
      </c>
      <c r="L72" s="4">
        <v>544.58000000000004</v>
      </c>
      <c r="M72" t="s">
        <v>107</v>
      </c>
      <c r="N72" t="s">
        <v>76</v>
      </c>
      <c r="O72">
        <f>YEAR(Table1[[#This Row],[Order Date]])</f>
        <v>2025</v>
      </c>
      <c r="P72" t="str">
        <f>TEXT(Table1[[#This Row],[Order Date]],"mmmm")</f>
        <v>September</v>
      </c>
      <c r="Q72" t="str">
        <f>TEXT(Table1[[#This Row],[Order Date]],"mm")</f>
        <v>09</v>
      </c>
      <c r="R72" s="2">
        <f>Table1[[#This Row],[Profit]]/Table1[[#This Row],[Sales]]</f>
        <v>7.2258910291368286E-2</v>
      </c>
      <c r="S72" t="str">
        <f t="shared" si="1"/>
        <v>Low (1-10%)</v>
      </c>
    </row>
    <row r="73" spans="1:19" x14ac:dyDescent="0.2">
      <c r="A73" t="s">
        <v>287</v>
      </c>
      <c r="B73" s="3" t="s">
        <v>288</v>
      </c>
      <c r="C73" t="s">
        <v>289</v>
      </c>
      <c r="D73" t="s">
        <v>137</v>
      </c>
      <c r="E73" t="s">
        <v>142</v>
      </c>
      <c r="F73" t="s">
        <v>67</v>
      </c>
      <c r="G73" t="s">
        <v>115</v>
      </c>
      <c r="H73" t="s">
        <v>116</v>
      </c>
      <c r="I73" s="4">
        <v>2154.48</v>
      </c>
      <c r="J73">
        <v>6</v>
      </c>
      <c r="K73" s="2">
        <v>0</v>
      </c>
      <c r="L73" s="4">
        <v>274.94</v>
      </c>
      <c r="M73" t="s">
        <v>87</v>
      </c>
      <c r="N73" t="s">
        <v>32</v>
      </c>
      <c r="O73">
        <f>YEAR(Table1[[#This Row],[Order Date]])</f>
        <v>2024</v>
      </c>
      <c r="P73" t="str">
        <f>TEXT(Table1[[#This Row],[Order Date]],"mmmm")</f>
        <v>November</v>
      </c>
      <c r="Q73" t="str">
        <f>TEXT(Table1[[#This Row],[Order Date]],"mm")</f>
        <v>11</v>
      </c>
      <c r="R73" s="2">
        <f>Table1[[#This Row],[Profit]]/Table1[[#This Row],[Sales]]</f>
        <v>0.12761315955590211</v>
      </c>
      <c r="S73" t="str">
        <f t="shared" si="1"/>
        <v>No Discount</v>
      </c>
    </row>
    <row r="74" spans="1:19" x14ac:dyDescent="0.2">
      <c r="A74" t="s">
        <v>290</v>
      </c>
      <c r="B74" s="3" t="s">
        <v>291</v>
      </c>
      <c r="C74" t="s">
        <v>292</v>
      </c>
      <c r="D74" t="s">
        <v>17</v>
      </c>
      <c r="E74" t="s">
        <v>97</v>
      </c>
      <c r="F74" t="s">
        <v>67</v>
      </c>
      <c r="G74" t="s">
        <v>68</v>
      </c>
      <c r="H74" t="s">
        <v>103</v>
      </c>
      <c r="I74" s="4">
        <v>561.29999999999995</v>
      </c>
      <c r="J74">
        <v>6</v>
      </c>
      <c r="K74" s="2">
        <v>0.25</v>
      </c>
      <c r="L74" s="4">
        <v>29.51</v>
      </c>
      <c r="M74" t="s">
        <v>44</v>
      </c>
      <c r="N74" t="s">
        <v>32</v>
      </c>
      <c r="O74">
        <f>YEAR(Table1[[#This Row],[Order Date]])</f>
        <v>2024</v>
      </c>
      <c r="P74" t="str">
        <f>TEXT(Table1[[#This Row],[Order Date]],"mmmm")</f>
        <v>December</v>
      </c>
      <c r="Q74" t="str">
        <f>TEXT(Table1[[#This Row],[Order Date]],"mm")</f>
        <v>12</v>
      </c>
      <c r="R74" s="2">
        <f>Table1[[#This Row],[Profit]]/Table1[[#This Row],[Sales]]</f>
        <v>5.2574380901478715E-2</v>
      </c>
      <c r="S74" t="str">
        <f t="shared" si="1"/>
        <v>High (21-30%)</v>
      </c>
    </row>
    <row r="75" spans="1:19" x14ac:dyDescent="0.2">
      <c r="A75" t="s">
        <v>293</v>
      </c>
      <c r="B75" s="3" t="s">
        <v>127</v>
      </c>
      <c r="C75" t="s">
        <v>294</v>
      </c>
      <c r="D75" t="s">
        <v>137</v>
      </c>
      <c r="E75" t="s">
        <v>142</v>
      </c>
      <c r="F75" t="s">
        <v>55</v>
      </c>
      <c r="G75" t="s">
        <v>74</v>
      </c>
      <c r="H75" t="s">
        <v>133</v>
      </c>
      <c r="I75" s="4">
        <v>768.74</v>
      </c>
      <c r="J75">
        <v>2</v>
      </c>
      <c r="K75" s="2">
        <v>0</v>
      </c>
      <c r="L75" s="4">
        <v>100.64</v>
      </c>
      <c r="M75" t="s">
        <v>44</v>
      </c>
      <c r="N75" t="s">
        <v>32</v>
      </c>
      <c r="O75">
        <f>YEAR(Table1[[#This Row],[Order Date]])</f>
        <v>2024</v>
      </c>
      <c r="P75" t="str">
        <f>TEXT(Table1[[#This Row],[Order Date]],"mmmm")</f>
        <v>December</v>
      </c>
      <c r="Q75" t="str">
        <f>TEXT(Table1[[#This Row],[Order Date]],"mm")</f>
        <v>12</v>
      </c>
      <c r="R75" s="2">
        <f>Table1[[#This Row],[Profit]]/Table1[[#This Row],[Sales]]</f>
        <v>0.13091552410437859</v>
      </c>
      <c r="S75" t="str">
        <f t="shared" si="1"/>
        <v>No Discount</v>
      </c>
    </row>
    <row r="76" spans="1:19" x14ac:dyDescent="0.2">
      <c r="A76" t="s">
        <v>295</v>
      </c>
      <c r="B76" s="3" t="s">
        <v>296</v>
      </c>
      <c r="C76" t="s">
        <v>297</v>
      </c>
      <c r="D76" t="s">
        <v>137</v>
      </c>
      <c r="E76" t="s">
        <v>160</v>
      </c>
      <c r="F76" t="s">
        <v>67</v>
      </c>
      <c r="G76" t="s">
        <v>115</v>
      </c>
      <c r="H76" t="s">
        <v>116</v>
      </c>
      <c r="I76" s="4">
        <v>1871.22</v>
      </c>
      <c r="J76">
        <v>2</v>
      </c>
      <c r="K76" s="2">
        <v>0.2</v>
      </c>
      <c r="L76" s="4">
        <v>-72.510000000000005</v>
      </c>
      <c r="M76" t="s">
        <v>44</v>
      </c>
      <c r="N76" t="s">
        <v>32</v>
      </c>
      <c r="O76">
        <f>YEAR(Table1[[#This Row],[Order Date]])</f>
        <v>2025</v>
      </c>
      <c r="P76" t="str">
        <f>TEXT(Table1[[#This Row],[Order Date]],"mmmm")</f>
        <v>January</v>
      </c>
      <c r="Q76" t="str">
        <f>TEXT(Table1[[#This Row],[Order Date]],"mm")</f>
        <v>01</v>
      </c>
      <c r="R76" s="2">
        <f>Table1[[#This Row],[Profit]]/Table1[[#This Row],[Sales]]</f>
        <v>-3.8750120242408696E-2</v>
      </c>
      <c r="S76" t="str">
        <f t="shared" si="1"/>
        <v>Medium (11-20%)</v>
      </c>
    </row>
    <row r="77" spans="1:19" x14ac:dyDescent="0.2">
      <c r="A77" t="s">
        <v>298</v>
      </c>
      <c r="B77" s="3" t="s">
        <v>299</v>
      </c>
      <c r="C77" t="s">
        <v>189</v>
      </c>
      <c r="D77" t="s">
        <v>48</v>
      </c>
      <c r="E77" t="s">
        <v>73</v>
      </c>
      <c r="F77" t="s">
        <v>19</v>
      </c>
      <c r="G77" t="s">
        <v>20</v>
      </c>
      <c r="H77" t="s">
        <v>239</v>
      </c>
      <c r="I77" s="4">
        <v>3532.72</v>
      </c>
      <c r="J77">
        <v>8</v>
      </c>
      <c r="K77" s="2">
        <v>0.3</v>
      </c>
      <c r="L77" s="4">
        <v>225.66</v>
      </c>
      <c r="M77" t="s">
        <v>44</v>
      </c>
      <c r="N77" t="s">
        <v>39</v>
      </c>
      <c r="O77">
        <f>YEAR(Table1[[#This Row],[Order Date]])</f>
        <v>2024</v>
      </c>
      <c r="P77" t="str">
        <f>TEXT(Table1[[#This Row],[Order Date]],"mmmm")</f>
        <v>April</v>
      </c>
      <c r="Q77" t="str">
        <f>TEXT(Table1[[#This Row],[Order Date]],"mm")</f>
        <v>04</v>
      </c>
      <c r="R77" s="2">
        <f>Table1[[#This Row],[Profit]]/Table1[[#This Row],[Sales]]</f>
        <v>6.3877125840711979E-2</v>
      </c>
      <c r="S77" t="str">
        <f t="shared" si="1"/>
        <v>High (21-30%)</v>
      </c>
    </row>
    <row r="78" spans="1:19" x14ac:dyDescent="0.2">
      <c r="A78" t="s">
        <v>300</v>
      </c>
      <c r="B78" s="3" t="s">
        <v>301</v>
      </c>
      <c r="C78" t="s">
        <v>302</v>
      </c>
      <c r="D78" t="s">
        <v>137</v>
      </c>
      <c r="E78" t="s">
        <v>160</v>
      </c>
      <c r="F78" t="s">
        <v>19</v>
      </c>
      <c r="G78" t="s">
        <v>29</v>
      </c>
      <c r="H78" t="s">
        <v>50</v>
      </c>
      <c r="I78" s="4">
        <v>76.25</v>
      </c>
      <c r="J78">
        <v>1</v>
      </c>
      <c r="K78" s="2">
        <v>0.25</v>
      </c>
      <c r="L78" s="4">
        <v>-11.86</v>
      </c>
      <c r="M78" t="s">
        <v>143</v>
      </c>
      <c r="N78" t="s">
        <v>32</v>
      </c>
      <c r="O78">
        <f>YEAR(Table1[[#This Row],[Order Date]])</f>
        <v>2025</v>
      </c>
      <c r="P78" t="str">
        <f>TEXT(Table1[[#This Row],[Order Date]],"mmmm")</f>
        <v>June</v>
      </c>
      <c r="Q78" t="str">
        <f>TEXT(Table1[[#This Row],[Order Date]],"mm")</f>
        <v>06</v>
      </c>
      <c r="R78" s="2">
        <f>Table1[[#This Row],[Profit]]/Table1[[#This Row],[Sales]]</f>
        <v>-0.15554098360655738</v>
      </c>
      <c r="S78" t="str">
        <f t="shared" si="1"/>
        <v>High (21-30%)</v>
      </c>
    </row>
    <row r="79" spans="1:19" x14ac:dyDescent="0.2">
      <c r="A79" t="s">
        <v>303</v>
      </c>
      <c r="B79" s="3" t="s">
        <v>304</v>
      </c>
      <c r="C79" t="s">
        <v>305</v>
      </c>
      <c r="D79" t="s">
        <v>17</v>
      </c>
      <c r="E79" t="s">
        <v>97</v>
      </c>
      <c r="F79" t="s">
        <v>67</v>
      </c>
      <c r="G79" t="s">
        <v>68</v>
      </c>
      <c r="H79" t="s">
        <v>69</v>
      </c>
      <c r="I79" s="4">
        <v>1343.16</v>
      </c>
      <c r="J79">
        <v>4</v>
      </c>
      <c r="K79" s="2">
        <v>0.2</v>
      </c>
      <c r="L79" s="4">
        <v>25.32</v>
      </c>
      <c r="M79" t="s">
        <v>31</v>
      </c>
      <c r="N79" t="s">
        <v>32</v>
      </c>
      <c r="O79">
        <f>YEAR(Table1[[#This Row],[Order Date]])</f>
        <v>2024</v>
      </c>
      <c r="P79" t="str">
        <f>TEXT(Table1[[#This Row],[Order Date]],"mmmm")</f>
        <v>January</v>
      </c>
      <c r="Q79" t="str">
        <f>TEXT(Table1[[#This Row],[Order Date]],"mm")</f>
        <v>01</v>
      </c>
      <c r="R79" s="2">
        <f>Table1[[#This Row],[Profit]]/Table1[[#This Row],[Sales]]</f>
        <v>1.8851067631555436E-2</v>
      </c>
      <c r="S79" t="str">
        <f t="shared" si="1"/>
        <v>Medium (11-20%)</v>
      </c>
    </row>
    <row r="80" spans="1:19" x14ac:dyDescent="0.2">
      <c r="A80" t="s">
        <v>306</v>
      </c>
      <c r="B80" s="3" t="s">
        <v>307</v>
      </c>
      <c r="C80" t="s">
        <v>308</v>
      </c>
      <c r="D80" t="s">
        <v>17</v>
      </c>
      <c r="E80" t="s">
        <v>54</v>
      </c>
      <c r="F80" t="s">
        <v>19</v>
      </c>
      <c r="G80" t="s">
        <v>29</v>
      </c>
      <c r="H80" t="s">
        <v>199</v>
      </c>
      <c r="I80" s="4">
        <v>6681.51</v>
      </c>
      <c r="J80">
        <v>9</v>
      </c>
      <c r="K80" s="2">
        <v>0.05</v>
      </c>
      <c r="L80" s="4">
        <v>865.64</v>
      </c>
      <c r="M80" t="s">
        <v>31</v>
      </c>
      <c r="N80" t="s">
        <v>23</v>
      </c>
      <c r="O80">
        <f>YEAR(Table1[[#This Row],[Order Date]])</f>
        <v>2025</v>
      </c>
      <c r="P80" t="str">
        <f>TEXT(Table1[[#This Row],[Order Date]],"mmmm")</f>
        <v>April</v>
      </c>
      <c r="Q80" t="str">
        <f>TEXT(Table1[[#This Row],[Order Date]],"mm")</f>
        <v>04</v>
      </c>
      <c r="R80" s="2">
        <f>Table1[[#This Row],[Profit]]/Table1[[#This Row],[Sales]]</f>
        <v>0.12955754013688522</v>
      </c>
      <c r="S80" t="str">
        <f t="shared" si="1"/>
        <v>Low (1-10%)</v>
      </c>
    </row>
    <row r="81" spans="1:19" x14ac:dyDescent="0.2">
      <c r="A81" t="s">
        <v>309</v>
      </c>
      <c r="B81" s="3" t="s">
        <v>310</v>
      </c>
      <c r="C81" t="s">
        <v>311</v>
      </c>
      <c r="D81" t="s">
        <v>17</v>
      </c>
      <c r="E81" t="s">
        <v>18</v>
      </c>
      <c r="F81" t="s">
        <v>19</v>
      </c>
      <c r="G81" t="s">
        <v>36</v>
      </c>
      <c r="H81" t="s">
        <v>37</v>
      </c>
      <c r="I81" s="4">
        <v>3095.55</v>
      </c>
      <c r="J81">
        <v>3</v>
      </c>
      <c r="K81" s="2">
        <v>0</v>
      </c>
      <c r="L81" s="4">
        <v>593.66999999999996</v>
      </c>
      <c r="M81" t="s">
        <v>195</v>
      </c>
      <c r="N81" t="s">
        <v>39</v>
      </c>
      <c r="O81">
        <f>YEAR(Table1[[#This Row],[Order Date]])</f>
        <v>2025</v>
      </c>
      <c r="P81" t="str">
        <f>TEXT(Table1[[#This Row],[Order Date]],"mmmm")</f>
        <v>September</v>
      </c>
      <c r="Q81" t="str">
        <f>TEXT(Table1[[#This Row],[Order Date]],"mm")</f>
        <v>09</v>
      </c>
      <c r="R81" s="2">
        <f>Table1[[#This Row],[Profit]]/Table1[[#This Row],[Sales]]</f>
        <v>0.19178175122353053</v>
      </c>
      <c r="S81" t="str">
        <f t="shared" si="1"/>
        <v>No Discount</v>
      </c>
    </row>
    <row r="82" spans="1:19" x14ac:dyDescent="0.2">
      <c r="A82" t="s">
        <v>312</v>
      </c>
      <c r="B82" s="3" t="s">
        <v>313</v>
      </c>
      <c r="C82" t="s">
        <v>153</v>
      </c>
      <c r="D82" t="s">
        <v>27</v>
      </c>
      <c r="E82" t="s">
        <v>43</v>
      </c>
      <c r="F82" t="s">
        <v>19</v>
      </c>
      <c r="G82" t="s">
        <v>29</v>
      </c>
      <c r="H82" t="s">
        <v>30</v>
      </c>
      <c r="I82" s="4">
        <v>2925.52</v>
      </c>
      <c r="J82">
        <v>4</v>
      </c>
      <c r="K82" s="2">
        <v>0.2</v>
      </c>
      <c r="L82" s="4">
        <v>70.739999999999995</v>
      </c>
      <c r="M82" t="s">
        <v>44</v>
      </c>
      <c r="N82" t="s">
        <v>23</v>
      </c>
      <c r="O82">
        <f>YEAR(Table1[[#This Row],[Order Date]])</f>
        <v>2025</v>
      </c>
      <c r="P82" t="str">
        <f>TEXT(Table1[[#This Row],[Order Date]],"mmmm")</f>
        <v>April</v>
      </c>
      <c r="Q82" t="str">
        <f>TEXT(Table1[[#This Row],[Order Date]],"mm")</f>
        <v>04</v>
      </c>
      <c r="R82" s="2">
        <f>Table1[[#This Row],[Profit]]/Table1[[#This Row],[Sales]]</f>
        <v>2.4180316661653312E-2</v>
      </c>
      <c r="S82" t="str">
        <f t="shared" si="1"/>
        <v>Medium (11-20%)</v>
      </c>
    </row>
    <row r="83" spans="1:19" x14ac:dyDescent="0.2">
      <c r="A83" t="s">
        <v>314</v>
      </c>
      <c r="B83" s="3" t="s">
        <v>315</v>
      </c>
      <c r="C83" t="s">
        <v>316</v>
      </c>
      <c r="D83" t="s">
        <v>17</v>
      </c>
      <c r="E83" t="s">
        <v>97</v>
      </c>
      <c r="F83" t="s">
        <v>55</v>
      </c>
      <c r="G83" t="s">
        <v>98</v>
      </c>
      <c r="H83" t="s">
        <v>154</v>
      </c>
      <c r="I83" s="4">
        <v>2395.2600000000002</v>
      </c>
      <c r="J83">
        <v>9</v>
      </c>
      <c r="K83" s="2">
        <v>0.05</v>
      </c>
      <c r="L83" s="4">
        <v>877.36</v>
      </c>
      <c r="M83" t="s">
        <v>143</v>
      </c>
      <c r="N83" t="s">
        <v>32</v>
      </c>
      <c r="O83">
        <f>YEAR(Table1[[#This Row],[Order Date]])</f>
        <v>2024</v>
      </c>
      <c r="P83" t="str">
        <f>TEXT(Table1[[#This Row],[Order Date]],"mmmm")</f>
        <v>September</v>
      </c>
      <c r="Q83" t="str">
        <f>TEXT(Table1[[#This Row],[Order Date]],"mm")</f>
        <v>09</v>
      </c>
      <c r="R83" s="2">
        <f>Table1[[#This Row],[Profit]]/Table1[[#This Row],[Sales]]</f>
        <v>0.36629008959361403</v>
      </c>
      <c r="S83" t="str">
        <f t="shared" si="1"/>
        <v>Low (1-10%)</v>
      </c>
    </row>
    <row r="84" spans="1:19" x14ac:dyDescent="0.2">
      <c r="A84" t="s">
        <v>317</v>
      </c>
      <c r="B84" s="3" t="s">
        <v>318</v>
      </c>
      <c r="C84" t="s">
        <v>319</v>
      </c>
      <c r="D84" t="s">
        <v>27</v>
      </c>
      <c r="E84" t="s">
        <v>28</v>
      </c>
      <c r="F84" t="s">
        <v>55</v>
      </c>
      <c r="G84" t="s">
        <v>74</v>
      </c>
      <c r="H84" t="s">
        <v>75</v>
      </c>
      <c r="I84" s="4">
        <v>5777.76</v>
      </c>
      <c r="J84">
        <v>6</v>
      </c>
      <c r="K84" s="2">
        <v>0.1</v>
      </c>
      <c r="L84" s="4">
        <v>1798.58</v>
      </c>
      <c r="M84" t="s">
        <v>195</v>
      </c>
      <c r="N84" t="s">
        <v>32</v>
      </c>
      <c r="O84">
        <f>YEAR(Table1[[#This Row],[Order Date]])</f>
        <v>2025</v>
      </c>
      <c r="P84" t="str">
        <f>TEXT(Table1[[#This Row],[Order Date]],"mmmm")</f>
        <v>October</v>
      </c>
      <c r="Q84" t="str">
        <f>TEXT(Table1[[#This Row],[Order Date]],"mm")</f>
        <v>10</v>
      </c>
      <c r="R84" s="2">
        <f>Table1[[#This Row],[Profit]]/Table1[[#This Row],[Sales]]</f>
        <v>0.3112936501343081</v>
      </c>
      <c r="S84" t="str">
        <f t="shared" si="1"/>
        <v>Low (1-10%)</v>
      </c>
    </row>
    <row r="85" spans="1:19" x14ac:dyDescent="0.2">
      <c r="A85" t="s">
        <v>320</v>
      </c>
      <c r="B85" s="3" t="s">
        <v>321</v>
      </c>
      <c r="C85" t="s">
        <v>183</v>
      </c>
      <c r="D85" t="s">
        <v>48</v>
      </c>
      <c r="E85" t="s">
        <v>110</v>
      </c>
      <c r="F85" t="s">
        <v>19</v>
      </c>
      <c r="G85" t="s">
        <v>36</v>
      </c>
      <c r="H85" t="s">
        <v>37</v>
      </c>
      <c r="I85" s="4">
        <v>5832.99</v>
      </c>
      <c r="J85">
        <v>9</v>
      </c>
      <c r="K85" s="2">
        <v>0.05</v>
      </c>
      <c r="L85" s="4">
        <v>2061.41</v>
      </c>
      <c r="M85" t="s">
        <v>143</v>
      </c>
      <c r="N85" t="s">
        <v>23</v>
      </c>
      <c r="O85">
        <f>YEAR(Table1[[#This Row],[Order Date]])</f>
        <v>2024</v>
      </c>
      <c r="P85" t="str">
        <f>TEXT(Table1[[#This Row],[Order Date]],"mmmm")</f>
        <v>August</v>
      </c>
      <c r="Q85" t="str">
        <f>TEXT(Table1[[#This Row],[Order Date]],"mm")</f>
        <v>08</v>
      </c>
      <c r="R85" s="2">
        <f>Table1[[#This Row],[Profit]]/Table1[[#This Row],[Sales]]</f>
        <v>0.35340537185902943</v>
      </c>
      <c r="S85" t="str">
        <f t="shared" si="1"/>
        <v>Low (1-10%)</v>
      </c>
    </row>
    <row r="86" spans="1:19" x14ac:dyDescent="0.2">
      <c r="A86" t="s">
        <v>322</v>
      </c>
      <c r="B86" s="3" t="s">
        <v>323</v>
      </c>
      <c r="C86" t="s">
        <v>324</v>
      </c>
      <c r="D86" t="s">
        <v>27</v>
      </c>
      <c r="E86" t="s">
        <v>124</v>
      </c>
      <c r="F86" t="s">
        <v>55</v>
      </c>
      <c r="G86" t="s">
        <v>98</v>
      </c>
      <c r="H86" t="s">
        <v>99</v>
      </c>
      <c r="I86" s="4">
        <v>8823.2000000000007</v>
      </c>
      <c r="J86">
        <v>10</v>
      </c>
      <c r="K86" s="2">
        <v>0.3</v>
      </c>
      <c r="L86" s="4">
        <v>582.89</v>
      </c>
      <c r="M86" t="s">
        <v>38</v>
      </c>
      <c r="N86" t="s">
        <v>32</v>
      </c>
      <c r="O86">
        <f>YEAR(Table1[[#This Row],[Order Date]])</f>
        <v>2025</v>
      </c>
      <c r="P86" t="str">
        <f>TEXT(Table1[[#This Row],[Order Date]],"mmmm")</f>
        <v>November</v>
      </c>
      <c r="Q86" t="str">
        <f>TEXT(Table1[[#This Row],[Order Date]],"mm")</f>
        <v>11</v>
      </c>
      <c r="R86" s="2">
        <f>Table1[[#This Row],[Profit]]/Table1[[#This Row],[Sales]]</f>
        <v>6.6063333031099819E-2</v>
      </c>
      <c r="S86" t="str">
        <f t="shared" si="1"/>
        <v>High (21-30%)</v>
      </c>
    </row>
    <row r="87" spans="1:19" x14ac:dyDescent="0.2">
      <c r="A87" t="s">
        <v>325</v>
      </c>
      <c r="B87" s="3" t="s">
        <v>326</v>
      </c>
      <c r="C87" t="s">
        <v>327</v>
      </c>
      <c r="D87" t="s">
        <v>27</v>
      </c>
      <c r="E87" t="s">
        <v>43</v>
      </c>
      <c r="F87" t="s">
        <v>55</v>
      </c>
      <c r="G87" t="s">
        <v>74</v>
      </c>
      <c r="H87" t="s">
        <v>133</v>
      </c>
      <c r="I87" s="4">
        <v>1629.2</v>
      </c>
      <c r="J87">
        <v>10</v>
      </c>
      <c r="K87" s="2">
        <v>0.3</v>
      </c>
      <c r="L87" s="4">
        <v>-122.43</v>
      </c>
      <c r="M87" t="s">
        <v>44</v>
      </c>
      <c r="N87" t="s">
        <v>39</v>
      </c>
      <c r="O87">
        <f>YEAR(Table1[[#This Row],[Order Date]])</f>
        <v>2024</v>
      </c>
      <c r="P87" t="str">
        <f>TEXT(Table1[[#This Row],[Order Date]],"mmmm")</f>
        <v>May</v>
      </c>
      <c r="Q87" t="str">
        <f>TEXT(Table1[[#This Row],[Order Date]],"mm")</f>
        <v>05</v>
      </c>
      <c r="R87" s="2">
        <f>Table1[[#This Row],[Profit]]/Table1[[#This Row],[Sales]]</f>
        <v>-7.5147311563957778E-2</v>
      </c>
      <c r="S87" t="str">
        <f t="shared" si="1"/>
        <v>High (21-30%)</v>
      </c>
    </row>
    <row r="88" spans="1:19" x14ac:dyDescent="0.2">
      <c r="A88" t="s">
        <v>328</v>
      </c>
      <c r="B88" s="3" t="s">
        <v>329</v>
      </c>
      <c r="C88" t="s">
        <v>53</v>
      </c>
      <c r="D88" t="s">
        <v>17</v>
      </c>
      <c r="E88" t="s">
        <v>54</v>
      </c>
      <c r="F88" t="s">
        <v>67</v>
      </c>
      <c r="G88" t="s">
        <v>115</v>
      </c>
      <c r="H88" t="s">
        <v>116</v>
      </c>
      <c r="I88" s="4">
        <v>5188.9799999999996</v>
      </c>
      <c r="J88">
        <v>6</v>
      </c>
      <c r="K88" s="2">
        <v>0.2</v>
      </c>
      <c r="L88" s="4">
        <v>-777.88</v>
      </c>
      <c r="M88" t="s">
        <v>22</v>
      </c>
      <c r="N88" t="s">
        <v>39</v>
      </c>
      <c r="O88">
        <f>YEAR(Table1[[#This Row],[Order Date]])</f>
        <v>2024</v>
      </c>
      <c r="P88" t="str">
        <f>TEXT(Table1[[#This Row],[Order Date]],"mmmm")</f>
        <v>December</v>
      </c>
      <c r="Q88" t="str">
        <f>TEXT(Table1[[#This Row],[Order Date]],"mm")</f>
        <v>12</v>
      </c>
      <c r="R88" s="2">
        <f>Table1[[#This Row],[Profit]]/Table1[[#This Row],[Sales]]</f>
        <v>-0.14991000158027204</v>
      </c>
      <c r="S88" t="str">
        <f t="shared" si="1"/>
        <v>Medium (11-20%)</v>
      </c>
    </row>
    <row r="89" spans="1:19" x14ac:dyDescent="0.2">
      <c r="A89" t="s">
        <v>330</v>
      </c>
      <c r="B89" s="3" t="s">
        <v>331</v>
      </c>
      <c r="C89" t="s">
        <v>332</v>
      </c>
      <c r="D89" t="s">
        <v>137</v>
      </c>
      <c r="E89" t="s">
        <v>138</v>
      </c>
      <c r="F89" t="s">
        <v>55</v>
      </c>
      <c r="G89" t="s">
        <v>98</v>
      </c>
      <c r="H89" t="s">
        <v>99</v>
      </c>
      <c r="I89" s="4">
        <v>2389.2600000000002</v>
      </c>
      <c r="J89">
        <v>6</v>
      </c>
      <c r="K89" s="2">
        <v>0.1</v>
      </c>
      <c r="L89" s="4">
        <v>472.22</v>
      </c>
      <c r="M89" t="s">
        <v>63</v>
      </c>
      <c r="N89" t="s">
        <v>32</v>
      </c>
      <c r="O89">
        <f>YEAR(Table1[[#This Row],[Order Date]])</f>
        <v>2025</v>
      </c>
      <c r="P89" t="str">
        <f>TEXT(Table1[[#This Row],[Order Date]],"mmmm")</f>
        <v>June</v>
      </c>
      <c r="Q89" t="str">
        <f>TEXT(Table1[[#This Row],[Order Date]],"mm")</f>
        <v>06</v>
      </c>
      <c r="R89" s="2">
        <f>Table1[[#This Row],[Profit]]/Table1[[#This Row],[Sales]]</f>
        <v>0.19764278479529226</v>
      </c>
      <c r="S89" t="str">
        <f t="shared" si="1"/>
        <v>Low (1-10%)</v>
      </c>
    </row>
    <row r="90" spans="1:19" x14ac:dyDescent="0.2">
      <c r="A90" t="s">
        <v>333</v>
      </c>
      <c r="B90" s="3" t="s">
        <v>334</v>
      </c>
      <c r="C90" t="s">
        <v>335</v>
      </c>
      <c r="D90" t="s">
        <v>137</v>
      </c>
      <c r="E90" t="s">
        <v>138</v>
      </c>
      <c r="F90" t="s">
        <v>19</v>
      </c>
      <c r="G90" t="s">
        <v>20</v>
      </c>
      <c r="H90" t="s">
        <v>239</v>
      </c>
      <c r="I90" s="4">
        <v>5299</v>
      </c>
      <c r="J90">
        <v>10</v>
      </c>
      <c r="K90" s="2">
        <v>0.15</v>
      </c>
      <c r="L90" s="4">
        <v>69.31</v>
      </c>
      <c r="M90" t="s">
        <v>143</v>
      </c>
      <c r="N90" t="s">
        <v>39</v>
      </c>
      <c r="O90">
        <f>YEAR(Table1[[#This Row],[Order Date]])</f>
        <v>2025</v>
      </c>
      <c r="P90" t="str">
        <f>TEXT(Table1[[#This Row],[Order Date]],"mmmm")</f>
        <v>February</v>
      </c>
      <c r="Q90" t="str">
        <f>TEXT(Table1[[#This Row],[Order Date]],"mm")</f>
        <v>02</v>
      </c>
      <c r="R90" s="2">
        <f>Table1[[#This Row],[Profit]]/Table1[[#This Row],[Sales]]</f>
        <v>1.307982638233629E-2</v>
      </c>
      <c r="S90" t="str">
        <f t="shared" si="1"/>
        <v>Medium (11-20%)</v>
      </c>
    </row>
    <row r="91" spans="1:19" x14ac:dyDescent="0.2">
      <c r="A91" t="s">
        <v>336</v>
      </c>
      <c r="B91" s="3" t="s">
        <v>337</v>
      </c>
      <c r="C91" t="s">
        <v>47</v>
      </c>
      <c r="D91" t="s">
        <v>17</v>
      </c>
      <c r="E91" t="s">
        <v>54</v>
      </c>
      <c r="F91" t="s">
        <v>67</v>
      </c>
      <c r="G91" t="s">
        <v>68</v>
      </c>
      <c r="H91" t="s">
        <v>103</v>
      </c>
      <c r="I91" s="4">
        <v>3124.14</v>
      </c>
      <c r="J91">
        <v>6</v>
      </c>
      <c r="K91" s="2">
        <v>0</v>
      </c>
      <c r="L91" s="4">
        <v>372.2</v>
      </c>
      <c r="M91" t="s">
        <v>63</v>
      </c>
      <c r="N91" t="s">
        <v>23</v>
      </c>
      <c r="O91">
        <f>YEAR(Table1[[#This Row],[Order Date]])</f>
        <v>2025</v>
      </c>
      <c r="P91" t="str">
        <f>TEXT(Table1[[#This Row],[Order Date]],"mmmm")</f>
        <v>December</v>
      </c>
      <c r="Q91" t="str">
        <f>TEXT(Table1[[#This Row],[Order Date]],"mm")</f>
        <v>12</v>
      </c>
      <c r="R91" s="2">
        <f>Table1[[#This Row],[Profit]]/Table1[[#This Row],[Sales]]</f>
        <v>0.11913678644362929</v>
      </c>
      <c r="S91" t="str">
        <f t="shared" si="1"/>
        <v>No Discount</v>
      </c>
    </row>
    <row r="92" spans="1:19" x14ac:dyDescent="0.2">
      <c r="A92" t="s">
        <v>338</v>
      </c>
      <c r="B92" s="3" t="s">
        <v>339</v>
      </c>
      <c r="C92" t="s">
        <v>340</v>
      </c>
      <c r="D92" t="s">
        <v>27</v>
      </c>
      <c r="E92" t="s">
        <v>61</v>
      </c>
      <c r="F92" t="s">
        <v>19</v>
      </c>
      <c r="G92" t="s">
        <v>20</v>
      </c>
      <c r="H92" t="s">
        <v>239</v>
      </c>
      <c r="I92" s="4">
        <v>1693.2</v>
      </c>
      <c r="J92">
        <v>6</v>
      </c>
      <c r="K92" s="2">
        <v>0.2</v>
      </c>
      <c r="L92" s="4">
        <v>-136.4</v>
      </c>
      <c r="M92" t="s">
        <v>38</v>
      </c>
      <c r="N92" t="s">
        <v>76</v>
      </c>
      <c r="O92">
        <f>YEAR(Table1[[#This Row],[Order Date]])</f>
        <v>2025</v>
      </c>
      <c r="P92" t="str">
        <f>TEXT(Table1[[#This Row],[Order Date]],"mmmm")</f>
        <v>September</v>
      </c>
      <c r="Q92" t="str">
        <f>TEXT(Table1[[#This Row],[Order Date]],"mm")</f>
        <v>09</v>
      </c>
      <c r="R92" s="2">
        <f>Table1[[#This Row],[Profit]]/Table1[[#This Row],[Sales]]</f>
        <v>-8.0557524214505086E-2</v>
      </c>
      <c r="S92" t="str">
        <f t="shared" si="1"/>
        <v>Medium (11-20%)</v>
      </c>
    </row>
    <row r="93" spans="1:19" x14ac:dyDescent="0.2">
      <c r="A93" t="s">
        <v>341</v>
      </c>
      <c r="B93" s="3" t="s">
        <v>342</v>
      </c>
      <c r="C93" t="s">
        <v>343</v>
      </c>
      <c r="D93" t="s">
        <v>137</v>
      </c>
      <c r="E93" t="s">
        <v>160</v>
      </c>
      <c r="F93" t="s">
        <v>55</v>
      </c>
      <c r="G93" t="s">
        <v>98</v>
      </c>
      <c r="H93" t="s">
        <v>99</v>
      </c>
      <c r="I93" s="4">
        <v>708.04</v>
      </c>
      <c r="J93">
        <v>4</v>
      </c>
      <c r="K93" s="2">
        <v>0.1</v>
      </c>
      <c r="L93" s="4">
        <v>118.14</v>
      </c>
      <c r="M93" t="s">
        <v>63</v>
      </c>
      <c r="N93" t="s">
        <v>39</v>
      </c>
      <c r="O93">
        <f>YEAR(Table1[[#This Row],[Order Date]])</f>
        <v>2025</v>
      </c>
      <c r="P93" t="str">
        <f>TEXT(Table1[[#This Row],[Order Date]],"mmmm")</f>
        <v>August</v>
      </c>
      <c r="Q93" t="str">
        <f>TEXT(Table1[[#This Row],[Order Date]],"mm")</f>
        <v>08</v>
      </c>
      <c r="R93" s="2">
        <f>Table1[[#This Row],[Profit]]/Table1[[#This Row],[Sales]]</f>
        <v>0.16685497994463591</v>
      </c>
      <c r="S93" t="str">
        <f t="shared" si="1"/>
        <v>Low (1-10%)</v>
      </c>
    </row>
    <row r="94" spans="1:19" x14ac:dyDescent="0.2">
      <c r="A94" t="s">
        <v>344</v>
      </c>
      <c r="B94" s="3" t="s">
        <v>345</v>
      </c>
      <c r="C94" t="s">
        <v>346</v>
      </c>
      <c r="D94" t="s">
        <v>137</v>
      </c>
      <c r="E94" t="s">
        <v>138</v>
      </c>
      <c r="F94" t="s">
        <v>19</v>
      </c>
      <c r="G94" t="s">
        <v>20</v>
      </c>
      <c r="H94" t="s">
        <v>347</v>
      </c>
      <c r="I94" s="4">
        <v>374.34</v>
      </c>
      <c r="J94">
        <v>3</v>
      </c>
      <c r="K94" s="2">
        <v>0.2</v>
      </c>
      <c r="L94" s="4">
        <v>31.54</v>
      </c>
      <c r="M94" t="s">
        <v>143</v>
      </c>
      <c r="N94" t="s">
        <v>39</v>
      </c>
      <c r="O94">
        <f>YEAR(Table1[[#This Row],[Order Date]])</f>
        <v>2024</v>
      </c>
      <c r="P94" t="str">
        <f>TEXT(Table1[[#This Row],[Order Date]],"mmmm")</f>
        <v>December</v>
      </c>
      <c r="Q94" t="str">
        <f>TEXT(Table1[[#This Row],[Order Date]],"mm")</f>
        <v>12</v>
      </c>
      <c r="R94" s="2">
        <f>Table1[[#This Row],[Profit]]/Table1[[#This Row],[Sales]]</f>
        <v>8.425495538814981E-2</v>
      </c>
      <c r="S94" t="str">
        <f t="shared" si="1"/>
        <v>Medium (11-20%)</v>
      </c>
    </row>
    <row r="95" spans="1:19" x14ac:dyDescent="0.2">
      <c r="A95" t="s">
        <v>348</v>
      </c>
      <c r="B95" s="3" t="s">
        <v>349</v>
      </c>
      <c r="C95" t="s">
        <v>350</v>
      </c>
      <c r="D95" t="s">
        <v>137</v>
      </c>
      <c r="E95" t="s">
        <v>138</v>
      </c>
      <c r="F95" t="s">
        <v>19</v>
      </c>
      <c r="G95" t="s">
        <v>20</v>
      </c>
      <c r="H95" t="s">
        <v>239</v>
      </c>
      <c r="I95" s="4">
        <v>607.28</v>
      </c>
      <c r="J95">
        <v>2</v>
      </c>
      <c r="K95" s="2">
        <v>0.25</v>
      </c>
      <c r="L95" s="4">
        <v>-89.79</v>
      </c>
      <c r="M95" t="s">
        <v>31</v>
      </c>
      <c r="N95" t="s">
        <v>76</v>
      </c>
      <c r="O95">
        <f>YEAR(Table1[[#This Row],[Order Date]])</f>
        <v>2024</v>
      </c>
      <c r="P95" t="str">
        <f>TEXT(Table1[[#This Row],[Order Date]],"mmmm")</f>
        <v>December</v>
      </c>
      <c r="Q95" t="str">
        <f>TEXT(Table1[[#This Row],[Order Date]],"mm")</f>
        <v>12</v>
      </c>
      <c r="R95" s="2">
        <f>Table1[[#This Row],[Profit]]/Table1[[#This Row],[Sales]]</f>
        <v>-0.14785601370043475</v>
      </c>
      <c r="S95" t="str">
        <f t="shared" si="1"/>
        <v>High (21-30%)</v>
      </c>
    </row>
    <row r="96" spans="1:19" x14ac:dyDescent="0.2">
      <c r="A96" t="s">
        <v>351</v>
      </c>
      <c r="B96" s="3" t="s">
        <v>352</v>
      </c>
      <c r="C96" t="s">
        <v>157</v>
      </c>
      <c r="D96" t="s">
        <v>17</v>
      </c>
      <c r="E96" t="s">
        <v>18</v>
      </c>
      <c r="F96" t="s">
        <v>67</v>
      </c>
      <c r="G96" t="s">
        <v>68</v>
      </c>
      <c r="H96" t="s">
        <v>69</v>
      </c>
      <c r="I96" s="4">
        <v>682.04</v>
      </c>
      <c r="J96">
        <v>4</v>
      </c>
      <c r="K96" s="2">
        <v>0.3</v>
      </c>
      <c r="L96" s="4">
        <v>67.489999999999995</v>
      </c>
      <c r="M96" t="s">
        <v>143</v>
      </c>
      <c r="N96" t="s">
        <v>76</v>
      </c>
      <c r="O96">
        <f>YEAR(Table1[[#This Row],[Order Date]])</f>
        <v>2025</v>
      </c>
      <c r="P96" t="str">
        <f>TEXT(Table1[[#This Row],[Order Date]],"mmmm")</f>
        <v>December</v>
      </c>
      <c r="Q96" t="str">
        <f>TEXT(Table1[[#This Row],[Order Date]],"mm")</f>
        <v>12</v>
      </c>
      <c r="R96" s="2">
        <f>Table1[[#This Row],[Profit]]/Table1[[#This Row],[Sales]]</f>
        <v>9.8953140578265208E-2</v>
      </c>
      <c r="S96" t="str">
        <f t="shared" si="1"/>
        <v>High (21-30%)</v>
      </c>
    </row>
    <row r="97" spans="1:19" x14ac:dyDescent="0.2">
      <c r="A97" t="s">
        <v>353</v>
      </c>
      <c r="B97" s="3" t="s">
        <v>354</v>
      </c>
      <c r="C97" t="s">
        <v>355</v>
      </c>
      <c r="D97" t="s">
        <v>27</v>
      </c>
      <c r="E97" t="s">
        <v>61</v>
      </c>
      <c r="F97" t="s">
        <v>19</v>
      </c>
      <c r="G97" t="s">
        <v>29</v>
      </c>
      <c r="H97" t="s">
        <v>30</v>
      </c>
      <c r="I97" s="4">
        <v>4500.5</v>
      </c>
      <c r="J97">
        <v>5</v>
      </c>
      <c r="K97" s="2">
        <v>0.3</v>
      </c>
      <c r="L97" s="4">
        <v>331.97</v>
      </c>
      <c r="M97" t="s">
        <v>38</v>
      </c>
      <c r="N97" t="s">
        <v>32</v>
      </c>
      <c r="O97">
        <f>YEAR(Table1[[#This Row],[Order Date]])</f>
        <v>2024</v>
      </c>
      <c r="P97" t="str">
        <f>TEXT(Table1[[#This Row],[Order Date]],"mmmm")</f>
        <v>June</v>
      </c>
      <c r="Q97" t="str">
        <f>TEXT(Table1[[#This Row],[Order Date]],"mm")</f>
        <v>06</v>
      </c>
      <c r="R97" s="2">
        <f>Table1[[#This Row],[Profit]]/Table1[[#This Row],[Sales]]</f>
        <v>7.3762915231640941E-2</v>
      </c>
      <c r="S97" t="str">
        <f t="shared" si="1"/>
        <v>High (21-30%)</v>
      </c>
    </row>
    <row r="98" spans="1:19" x14ac:dyDescent="0.2">
      <c r="A98" t="s">
        <v>356</v>
      </c>
      <c r="B98" s="3" t="s">
        <v>357</v>
      </c>
      <c r="C98" t="s">
        <v>358</v>
      </c>
      <c r="D98" t="s">
        <v>48</v>
      </c>
      <c r="E98" t="s">
        <v>73</v>
      </c>
      <c r="F98" t="s">
        <v>19</v>
      </c>
      <c r="G98" t="s">
        <v>36</v>
      </c>
      <c r="H98" t="s">
        <v>222</v>
      </c>
      <c r="I98" s="4">
        <v>4682</v>
      </c>
      <c r="J98">
        <v>10</v>
      </c>
      <c r="K98" s="2">
        <v>0.15</v>
      </c>
      <c r="L98" s="4">
        <v>108.83</v>
      </c>
      <c r="M98" t="s">
        <v>38</v>
      </c>
      <c r="N98" t="s">
        <v>32</v>
      </c>
      <c r="O98">
        <f>YEAR(Table1[[#This Row],[Order Date]])</f>
        <v>2025</v>
      </c>
      <c r="P98" t="str">
        <f>TEXT(Table1[[#This Row],[Order Date]],"mmmm")</f>
        <v>November</v>
      </c>
      <c r="Q98" t="str">
        <f>TEXT(Table1[[#This Row],[Order Date]],"mm")</f>
        <v>11</v>
      </c>
      <c r="R98" s="2">
        <f>Table1[[#This Row],[Profit]]/Table1[[#This Row],[Sales]]</f>
        <v>2.3244340025630073E-2</v>
      </c>
      <c r="S98" t="str">
        <f t="shared" si="1"/>
        <v>Medium (11-20%)</v>
      </c>
    </row>
    <row r="99" spans="1:19" x14ac:dyDescent="0.2">
      <c r="A99" t="s">
        <v>359</v>
      </c>
      <c r="B99" s="3" t="s">
        <v>360</v>
      </c>
      <c r="C99" t="s">
        <v>120</v>
      </c>
      <c r="D99" t="s">
        <v>137</v>
      </c>
      <c r="E99" t="s">
        <v>142</v>
      </c>
      <c r="F99" t="s">
        <v>19</v>
      </c>
      <c r="G99" t="s">
        <v>20</v>
      </c>
      <c r="H99" t="s">
        <v>21</v>
      </c>
      <c r="I99" s="4">
        <v>2116.17</v>
      </c>
      <c r="J99">
        <v>9</v>
      </c>
      <c r="K99" s="2">
        <v>0.15</v>
      </c>
      <c r="L99" s="4">
        <v>136.69999999999999</v>
      </c>
      <c r="M99" t="s">
        <v>87</v>
      </c>
      <c r="N99" t="s">
        <v>76</v>
      </c>
      <c r="O99">
        <f>YEAR(Table1[[#This Row],[Order Date]])</f>
        <v>2025</v>
      </c>
      <c r="P99" t="str">
        <f>TEXT(Table1[[#This Row],[Order Date]],"mmmm")</f>
        <v>July</v>
      </c>
      <c r="Q99" t="str">
        <f>TEXT(Table1[[#This Row],[Order Date]],"mm")</f>
        <v>07</v>
      </c>
      <c r="R99" s="2">
        <f>Table1[[#This Row],[Profit]]/Table1[[#This Row],[Sales]]</f>
        <v>6.4597834767528117E-2</v>
      </c>
      <c r="S99" t="str">
        <f t="shared" si="1"/>
        <v>Medium (11-20%)</v>
      </c>
    </row>
    <row r="100" spans="1:19" x14ac:dyDescent="0.2">
      <c r="A100" t="s">
        <v>361</v>
      </c>
      <c r="B100" s="3" t="s">
        <v>362</v>
      </c>
      <c r="C100" t="s">
        <v>235</v>
      </c>
      <c r="D100" t="s">
        <v>48</v>
      </c>
      <c r="E100" t="s">
        <v>73</v>
      </c>
      <c r="F100" t="s">
        <v>19</v>
      </c>
      <c r="G100" t="s">
        <v>36</v>
      </c>
      <c r="H100" t="s">
        <v>111</v>
      </c>
      <c r="I100" s="4">
        <v>635.54</v>
      </c>
      <c r="J100">
        <v>2</v>
      </c>
      <c r="K100" s="2">
        <v>0.2</v>
      </c>
      <c r="L100" s="4">
        <v>112.32</v>
      </c>
      <c r="M100" t="s">
        <v>117</v>
      </c>
      <c r="N100" t="s">
        <v>76</v>
      </c>
      <c r="O100">
        <f>YEAR(Table1[[#This Row],[Order Date]])</f>
        <v>2025</v>
      </c>
      <c r="P100" t="str">
        <f>TEXT(Table1[[#This Row],[Order Date]],"mmmm")</f>
        <v>February</v>
      </c>
      <c r="Q100" t="str">
        <f>TEXT(Table1[[#This Row],[Order Date]],"mm")</f>
        <v>02</v>
      </c>
      <c r="R100" s="2">
        <f>Table1[[#This Row],[Profit]]/Table1[[#This Row],[Sales]]</f>
        <v>0.17673159832583316</v>
      </c>
      <c r="S100" t="str">
        <f t="shared" si="1"/>
        <v>Medium (11-20%)</v>
      </c>
    </row>
    <row r="101" spans="1:19" x14ac:dyDescent="0.2">
      <c r="A101" t="s">
        <v>363</v>
      </c>
      <c r="B101" s="3" t="s">
        <v>364</v>
      </c>
      <c r="C101" t="s">
        <v>268</v>
      </c>
      <c r="D101" t="s">
        <v>17</v>
      </c>
      <c r="E101" t="s">
        <v>54</v>
      </c>
      <c r="F101" t="s">
        <v>19</v>
      </c>
      <c r="G101" t="s">
        <v>29</v>
      </c>
      <c r="H101" t="s">
        <v>30</v>
      </c>
      <c r="I101" s="4">
        <v>1950.06</v>
      </c>
      <c r="J101">
        <v>3</v>
      </c>
      <c r="K101" s="2">
        <v>0.05</v>
      </c>
      <c r="L101" s="4">
        <v>204.4</v>
      </c>
      <c r="M101" t="s">
        <v>31</v>
      </c>
      <c r="N101" t="s">
        <v>76</v>
      </c>
      <c r="O101">
        <f>YEAR(Table1[[#This Row],[Order Date]])</f>
        <v>2024</v>
      </c>
      <c r="P101" t="str">
        <f>TEXT(Table1[[#This Row],[Order Date]],"mmmm")</f>
        <v>February</v>
      </c>
      <c r="Q101" t="str">
        <f>TEXT(Table1[[#This Row],[Order Date]],"mm")</f>
        <v>02</v>
      </c>
      <c r="R101" s="2">
        <f>Table1[[#This Row],[Profit]]/Table1[[#This Row],[Sales]]</f>
        <v>0.10481728767319981</v>
      </c>
      <c r="S101" t="str">
        <f t="shared" si="1"/>
        <v>Low (1-10%)</v>
      </c>
    </row>
    <row r="102" spans="1:19" x14ac:dyDescent="0.2">
      <c r="A102" t="s">
        <v>365</v>
      </c>
      <c r="B102" s="3" t="s">
        <v>366</v>
      </c>
      <c r="C102" t="s">
        <v>367</v>
      </c>
      <c r="D102" t="s">
        <v>27</v>
      </c>
      <c r="E102" t="s">
        <v>28</v>
      </c>
      <c r="F102" t="s">
        <v>55</v>
      </c>
      <c r="G102" t="s">
        <v>56</v>
      </c>
      <c r="H102" t="s">
        <v>129</v>
      </c>
      <c r="I102" s="4">
        <v>4904.46</v>
      </c>
      <c r="J102">
        <v>6</v>
      </c>
      <c r="K102" s="2">
        <v>0</v>
      </c>
      <c r="L102" s="4">
        <v>2115.63</v>
      </c>
      <c r="M102" t="s">
        <v>107</v>
      </c>
      <c r="N102" t="s">
        <v>23</v>
      </c>
      <c r="O102">
        <f>YEAR(Table1[[#This Row],[Order Date]])</f>
        <v>2024</v>
      </c>
      <c r="P102" t="str">
        <f>TEXT(Table1[[#This Row],[Order Date]],"mmmm")</f>
        <v>September</v>
      </c>
      <c r="Q102" t="str">
        <f>TEXT(Table1[[#This Row],[Order Date]],"mm")</f>
        <v>09</v>
      </c>
      <c r="R102" s="2">
        <f>Table1[[#This Row],[Profit]]/Table1[[#This Row],[Sales]]</f>
        <v>0.43136859103754543</v>
      </c>
      <c r="S102" t="str">
        <f t="shared" si="1"/>
        <v>No Discount</v>
      </c>
    </row>
    <row r="103" spans="1:19" x14ac:dyDescent="0.2">
      <c r="A103" t="s">
        <v>368</v>
      </c>
      <c r="B103" s="3" t="s">
        <v>369</v>
      </c>
      <c r="C103" t="s">
        <v>370</v>
      </c>
      <c r="D103" t="s">
        <v>48</v>
      </c>
      <c r="E103" t="s">
        <v>110</v>
      </c>
      <c r="F103" t="s">
        <v>55</v>
      </c>
      <c r="G103" t="s">
        <v>98</v>
      </c>
      <c r="H103" t="s">
        <v>150</v>
      </c>
      <c r="I103" s="4">
        <v>5038.88</v>
      </c>
      <c r="J103">
        <v>7</v>
      </c>
      <c r="K103" s="2">
        <v>0.25</v>
      </c>
      <c r="L103" s="4">
        <v>-690.95</v>
      </c>
      <c r="M103" t="s">
        <v>38</v>
      </c>
      <c r="N103" t="s">
        <v>32</v>
      </c>
      <c r="O103">
        <f>YEAR(Table1[[#This Row],[Order Date]])</f>
        <v>2025</v>
      </c>
      <c r="P103" t="str">
        <f>TEXT(Table1[[#This Row],[Order Date]],"mmmm")</f>
        <v>June</v>
      </c>
      <c r="Q103" t="str">
        <f>TEXT(Table1[[#This Row],[Order Date]],"mm")</f>
        <v>06</v>
      </c>
      <c r="R103" s="2">
        <f>Table1[[#This Row],[Profit]]/Table1[[#This Row],[Sales]]</f>
        <v>-0.13712372590734451</v>
      </c>
      <c r="S103" t="str">
        <f t="shared" si="1"/>
        <v>High (21-30%)</v>
      </c>
    </row>
    <row r="104" spans="1:19" x14ac:dyDescent="0.2">
      <c r="A104" t="s">
        <v>371</v>
      </c>
      <c r="B104" s="3" t="s">
        <v>372</v>
      </c>
      <c r="C104" t="s">
        <v>172</v>
      </c>
      <c r="D104" t="s">
        <v>17</v>
      </c>
      <c r="E104" t="s">
        <v>54</v>
      </c>
      <c r="F104" t="s">
        <v>55</v>
      </c>
      <c r="G104" t="s">
        <v>98</v>
      </c>
      <c r="H104" t="s">
        <v>150</v>
      </c>
      <c r="I104" s="4">
        <v>1862.9</v>
      </c>
      <c r="J104">
        <v>10</v>
      </c>
      <c r="K104" s="2">
        <v>0.05</v>
      </c>
      <c r="L104" s="4">
        <v>164.13</v>
      </c>
      <c r="M104" t="s">
        <v>63</v>
      </c>
      <c r="N104" t="s">
        <v>76</v>
      </c>
      <c r="O104">
        <f>YEAR(Table1[[#This Row],[Order Date]])</f>
        <v>2024</v>
      </c>
      <c r="P104" t="str">
        <f>TEXT(Table1[[#This Row],[Order Date]],"mmmm")</f>
        <v>July</v>
      </c>
      <c r="Q104" t="str">
        <f>TEXT(Table1[[#This Row],[Order Date]],"mm")</f>
        <v>07</v>
      </c>
      <c r="R104" s="2">
        <f>Table1[[#This Row],[Profit]]/Table1[[#This Row],[Sales]]</f>
        <v>8.8104568146438342E-2</v>
      </c>
      <c r="S104" t="str">
        <f t="shared" si="1"/>
        <v>Low (1-10%)</v>
      </c>
    </row>
    <row r="105" spans="1:19" x14ac:dyDescent="0.2">
      <c r="A105" t="s">
        <v>373</v>
      </c>
      <c r="B105" s="3" t="s">
        <v>374</v>
      </c>
      <c r="C105" t="s">
        <v>375</v>
      </c>
      <c r="D105" t="s">
        <v>137</v>
      </c>
      <c r="E105" t="s">
        <v>160</v>
      </c>
      <c r="F105" t="s">
        <v>67</v>
      </c>
      <c r="G105" t="s">
        <v>85</v>
      </c>
      <c r="H105" t="s">
        <v>125</v>
      </c>
      <c r="I105" s="4">
        <v>5749.47</v>
      </c>
      <c r="J105">
        <v>9</v>
      </c>
      <c r="K105" s="2">
        <v>0.1</v>
      </c>
      <c r="L105" s="4">
        <v>-111.31</v>
      </c>
      <c r="M105" t="s">
        <v>87</v>
      </c>
      <c r="N105" t="s">
        <v>32</v>
      </c>
      <c r="O105">
        <f>YEAR(Table1[[#This Row],[Order Date]])</f>
        <v>2025</v>
      </c>
      <c r="P105" t="str">
        <f>TEXT(Table1[[#This Row],[Order Date]],"mmmm")</f>
        <v>March</v>
      </c>
      <c r="Q105" t="str">
        <f>TEXT(Table1[[#This Row],[Order Date]],"mm")</f>
        <v>03</v>
      </c>
      <c r="R105" s="2">
        <f>Table1[[#This Row],[Profit]]/Table1[[#This Row],[Sales]]</f>
        <v>-1.9360045360702811E-2</v>
      </c>
      <c r="S105" t="str">
        <f t="shared" si="1"/>
        <v>Low (1-10%)</v>
      </c>
    </row>
    <row r="106" spans="1:19" x14ac:dyDescent="0.2">
      <c r="A106" t="s">
        <v>376</v>
      </c>
      <c r="B106" s="3" t="s">
        <v>377</v>
      </c>
      <c r="C106" t="s">
        <v>378</v>
      </c>
      <c r="D106" t="s">
        <v>17</v>
      </c>
      <c r="E106" t="s">
        <v>97</v>
      </c>
      <c r="F106" t="s">
        <v>55</v>
      </c>
      <c r="G106" t="s">
        <v>56</v>
      </c>
      <c r="H106" t="s">
        <v>129</v>
      </c>
      <c r="I106" s="4">
        <v>2452.08</v>
      </c>
      <c r="J106">
        <v>3</v>
      </c>
      <c r="K106" s="2">
        <v>0.25</v>
      </c>
      <c r="L106" s="4">
        <v>286.58999999999997</v>
      </c>
      <c r="M106" t="s">
        <v>38</v>
      </c>
      <c r="N106" t="s">
        <v>32</v>
      </c>
      <c r="O106">
        <f>YEAR(Table1[[#This Row],[Order Date]])</f>
        <v>2024</v>
      </c>
      <c r="P106" t="str">
        <f>TEXT(Table1[[#This Row],[Order Date]],"mmmm")</f>
        <v>April</v>
      </c>
      <c r="Q106" t="str">
        <f>TEXT(Table1[[#This Row],[Order Date]],"mm")</f>
        <v>04</v>
      </c>
      <c r="R106" s="2">
        <f>Table1[[#This Row],[Profit]]/Table1[[#This Row],[Sales]]</f>
        <v>0.11687628462366643</v>
      </c>
      <c r="S106" t="str">
        <f t="shared" si="1"/>
        <v>High (21-30%)</v>
      </c>
    </row>
    <row r="107" spans="1:19" x14ac:dyDescent="0.2">
      <c r="A107" t="s">
        <v>379</v>
      </c>
      <c r="B107" s="3" t="s">
        <v>380</v>
      </c>
      <c r="C107" t="s">
        <v>381</v>
      </c>
      <c r="D107" t="s">
        <v>48</v>
      </c>
      <c r="E107" t="s">
        <v>84</v>
      </c>
      <c r="F107" t="s">
        <v>67</v>
      </c>
      <c r="G107" t="s">
        <v>68</v>
      </c>
      <c r="H107" t="s">
        <v>382</v>
      </c>
      <c r="I107" s="4">
        <v>9498.48</v>
      </c>
      <c r="J107">
        <v>8</v>
      </c>
      <c r="K107" s="2">
        <v>0.15</v>
      </c>
      <c r="L107" s="4">
        <v>479.9</v>
      </c>
      <c r="M107" t="s">
        <v>44</v>
      </c>
      <c r="N107" t="s">
        <v>76</v>
      </c>
      <c r="O107">
        <f>YEAR(Table1[[#This Row],[Order Date]])</f>
        <v>2025</v>
      </c>
      <c r="P107" t="str">
        <f>TEXT(Table1[[#This Row],[Order Date]],"mmmm")</f>
        <v>November</v>
      </c>
      <c r="Q107" t="str">
        <f>TEXT(Table1[[#This Row],[Order Date]],"mm")</f>
        <v>11</v>
      </c>
      <c r="R107" s="2">
        <f>Table1[[#This Row],[Profit]]/Table1[[#This Row],[Sales]]</f>
        <v>5.0523873293411153E-2</v>
      </c>
      <c r="S107" t="str">
        <f t="shared" si="1"/>
        <v>Medium (11-20%)</v>
      </c>
    </row>
    <row r="108" spans="1:19" x14ac:dyDescent="0.2">
      <c r="A108" t="s">
        <v>383</v>
      </c>
      <c r="B108" s="3" t="s">
        <v>384</v>
      </c>
      <c r="C108" t="s">
        <v>308</v>
      </c>
      <c r="D108" t="s">
        <v>27</v>
      </c>
      <c r="E108" t="s">
        <v>124</v>
      </c>
      <c r="F108" t="s">
        <v>55</v>
      </c>
      <c r="G108" t="s">
        <v>98</v>
      </c>
      <c r="H108" t="s">
        <v>99</v>
      </c>
      <c r="I108" s="4">
        <v>3163.2</v>
      </c>
      <c r="J108">
        <v>3</v>
      </c>
      <c r="K108" s="2">
        <v>0.3</v>
      </c>
      <c r="L108" s="4">
        <v>114.73</v>
      </c>
      <c r="M108" t="s">
        <v>195</v>
      </c>
      <c r="N108" t="s">
        <v>39</v>
      </c>
      <c r="O108">
        <f>YEAR(Table1[[#This Row],[Order Date]])</f>
        <v>2025</v>
      </c>
      <c r="P108" t="str">
        <f>TEXT(Table1[[#This Row],[Order Date]],"mmmm")</f>
        <v>June</v>
      </c>
      <c r="Q108" t="str">
        <f>TEXT(Table1[[#This Row],[Order Date]],"mm")</f>
        <v>06</v>
      </c>
      <c r="R108" s="2">
        <f>Table1[[#This Row],[Profit]]/Table1[[#This Row],[Sales]]</f>
        <v>3.6270232675771376E-2</v>
      </c>
      <c r="S108" t="str">
        <f t="shared" si="1"/>
        <v>High (21-30%)</v>
      </c>
    </row>
    <row r="109" spans="1:19" x14ac:dyDescent="0.2">
      <c r="A109" t="s">
        <v>385</v>
      </c>
      <c r="B109" s="3" t="s">
        <v>105</v>
      </c>
      <c r="C109" t="s">
        <v>386</v>
      </c>
      <c r="D109" t="s">
        <v>137</v>
      </c>
      <c r="E109" t="s">
        <v>142</v>
      </c>
      <c r="F109" t="s">
        <v>67</v>
      </c>
      <c r="G109" t="s">
        <v>115</v>
      </c>
      <c r="H109" t="s">
        <v>116</v>
      </c>
      <c r="I109" s="4">
        <v>72.599999999999994</v>
      </c>
      <c r="J109">
        <v>4</v>
      </c>
      <c r="K109" s="2">
        <v>0</v>
      </c>
      <c r="L109" s="4">
        <v>4.68</v>
      </c>
      <c r="M109" t="s">
        <v>22</v>
      </c>
      <c r="N109" t="s">
        <v>39</v>
      </c>
      <c r="O109">
        <f>YEAR(Table1[[#This Row],[Order Date]])</f>
        <v>2025</v>
      </c>
      <c r="P109" t="str">
        <f>TEXT(Table1[[#This Row],[Order Date]],"mmmm")</f>
        <v>March</v>
      </c>
      <c r="Q109" t="str">
        <f>TEXT(Table1[[#This Row],[Order Date]],"mm")</f>
        <v>03</v>
      </c>
      <c r="R109" s="2">
        <f>Table1[[#This Row],[Profit]]/Table1[[#This Row],[Sales]]</f>
        <v>6.4462809917355368E-2</v>
      </c>
      <c r="S109" t="str">
        <f t="shared" si="1"/>
        <v>No Discount</v>
      </c>
    </row>
    <row r="110" spans="1:19" x14ac:dyDescent="0.2">
      <c r="A110" t="s">
        <v>387</v>
      </c>
      <c r="B110" s="3" t="s">
        <v>388</v>
      </c>
      <c r="C110" t="s">
        <v>305</v>
      </c>
      <c r="D110" t="s">
        <v>48</v>
      </c>
      <c r="E110" t="s">
        <v>110</v>
      </c>
      <c r="F110" t="s">
        <v>67</v>
      </c>
      <c r="G110" t="s">
        <v>115</v>
      </c>
      <c r="H110" t="s">
        <v>116</v>
      </c>
      <c r="I110" s="4">
        <v>2205.54</v>
      </c>
      <c r="J110">
        <v>2</v>
      </c>
      <c r="K110" s="2">
        <v>0.3</v>
      </c>
      <c r="L110" s="4">
        <v>-424.47</v>
      </c>
      <c r="M110" t="s">
        <v>107</v>
      </c>
      <c r="N110" t="s">
        <v>23</v>
      </c>
      <c r="O110">
        <f>YEAR(Table1[[#This Row],[Order Date]])</f>
        <v>2025</v>
      </c>
      <c r="P110" t="str">
        <f>TEXT(Table1[[#This Row],[Order Date]],"mmmm")</f>
        <v>January</v>
      </c>
      <c r="Q110" t="str">
        <f>TEXT(Table1[[#This Row],[Order Date]],"mm")</f>
        <v>01</v>
      </c>
      <c r="R110" s="2">
        <f>Table1[[#This Row],[Profit]]/Table1[[#This Row],[Sales]]</f>
        <v>-0.19245626921298187</v>
      </c>
      <c r="S110" t="str">
        <f t="shared" si="1"/>
        <v>High (21-30%)</v>
      </c>
    </row>
    <row r="111" spans="1:19" x14ac:dyDescent="0.2">
      <c r="A111" t="s">
        <v>389</v>
      </c>
      <c r="B111" s="3" t="s">
        <v>390</v>
      </c>
      <c r="C111" t="s">
        <v>256</v>
      </c>
      <c r="D111" t="s">
        <v>27</v>
      </c>
      <c r="E111" t="s">
        <v>28</v>
      </c>
      <c r="F111" t="s">
        <v>55</v>
      </c>
      <c r="G111" t="s">
        <v>98</v>
      </c>
      <c r="H111" t="s">
        <v>154</v>
      </c>
      <c r="I111" s="4">
        <v>1273.83</v>
      </c>
      <c r="J111">
        <v>3</v>
      </c>
      <c r="K111" s="2">
        <v>0.2</v>
      </c>
      <c r="L111" s="4">
        <v>95.16</v>
      </c>
      <c r="M111" t="s">
        <v>117</v>
      </c>
      <c r="N111" t="s">
        <v>76</v>
      </c>
      <c r="O111">
        <f>YEAR(Table1[[#This Row],[Order Date]])</f>
        <v>2024</v>
      </c>
      <c r="P111" t="str">
        <f>TEXT(Table1[[#This Row],[Order Date]],"mmmm")</f>
        <v>January</v>
      </c>
      <c r="Q111" t="str">
        <f>TEXT(Table1[[#This Row],[Order Date]],"mm")</f>
        <v>01</v>
      </c>
      <c r="R111" s="2">
        <f>Table1[[#This Row],[Profit]]/Table1[[#This Row],[Sales]]</f>
        <v>7.4703845882103576E-2</v>
      </c>
      <c r="S111" t="str">
        <f t="shared" si="1"/>
        <v>Medium (11-20%)</v>
      </c>
    </row>
    <row r="112" spans="1:19" x14ac:dyDescent="0.2">
      <c r="A112" t="s">
        <v>391</v>
      </c>
      <c r="B112" s="3" t="s">
        <v>392</v>
      </c>
      <c r="C112" t="s">
        <v>262</v>
      </c>
      <c r="D112" t="s">
        <v>27</v>
      </c>
      <c r="E112" t="s">
        <v>61</v>
      </c>
      <c r="F112" t="s">
        <v>67</v>
      </c>
      <c r="G112" t="s">
        <v>85</v>
      </c>
      <c r="H112" t="s">
        <v>253</v>
      </c>
      <c r="I112" s="4">
        <v>4671.59</v>
      </c>
      <c r="J112">
        <v>7</v>
      </c>
      <c r="K112" s="2">
        <v>0.05</v>
      </c>
      <c r="L112" s="4">
        <v>378.52</v>
      </c>
      <c r="M112" t="s">
        <v>107</v>
      </c>
      <c r="N112" t="s">
        <v>76</v>
      </c>
      <c r="O112">
        <f>YEAR(Table1[[#This Row],[Order Date]])</f>
        <v>2025</v>
      </c>
      <c r="P112" t="str">
        <f>TEXT(Table1[[#This Row],[Order Date]],"mmmm")</f>
        <v>October</v>
      </c>
      <c r="Q112" t="str">
        <f>TEXT(Table1[[#This Row],[Order Date]],"mm")</f>
        <v>10</v>
      </c>
      <c r="R112" s="2">
        <f>Table1[[#This Row],[Profit]]/Table1[[#This Row],[Sales]]</f>
        <v>8.102594619818948E-2</v>
      </c>
      <c r="S112" t="str">
        <f t="shared" si="1"/>
        <v>Low (1-10%)</v>
      </c>
    </row>
    <row r="113" spans="1:19" x14ac:dyDescent="0.2">
      <c r="A113" t="s">
        <v>393</v>
      </c>
      <c r="B113" s="3" t="s">
        <v>394</v>
      </c>
      <c r="C113" t="s">
        <v>395</v>
      </c>
      <c r="D113" t="s">
        <v>27</v>
      </c>
      <c r="E113" t="s">
        <v>61</v>
      </c>
      <c r="F113" t="s">
        <v>67</v>
      </c>
      <c r="G113" t="s">
        <v>85</v>
      </c>
      <c r="H113" t="s">
        <v>253</v>
      </c>
      <c r="I113" s="4">
        <v>5792.94</v>
      </c>
      <c r="J113">
        <v>6</v>
      </c>
      <c r="K113" s="2">
        <v>0.15</v>
      </c>
      <c r="L113" s="4">
        <v>1438.99</v>
      </c>
      <c r="M113" t="s">
        <v>87</v>
      </c>
      <c r="N113" t="s">
        <v>39</v>
      </c>
      <c r="O113">
        <f>YEAR(Table1[[#This Row],[Order Date]])</f>
        <v>2024</v>
      </c>
      <c r="P113" t="str">
        <f>TEXT(Table1[[#This Row],[Order Date]],"mmmm")</f>
        <v>September</v>
      </c>
      <c r="Q113" t="str">
        <f>TEXT(Table1[[#This Row],[Order Date]],"mm")</f>
        <v>09</v>
      </c>
      <c r="R113" s="2">
        <f>Table1[[#This Row],[Profit]]/Table1[[#This Row],[Sales]]</f>
        <v>0.24840409187735418</v>
      </c>
      <c r="S113" t="str">
        <f t="shared" si="1"/>
        <v>Medium (11-20%)</v>
      </c>
    </row>
    <row r="114" spans="1:19" x14ac:dyDescent="0.2">
      <c r="A114" t="s">
        <v>396</v>
      </c>
      <c r="B114" s="3" t="s">
        <v>397</v>
      </c>
      <c r="C114" t="s">
        <v>93</v>
      </c>
      <c r="D114" t="s">
        <v>17</v>
      </c>
      <c r="E114" t="s">
        <v>54</v>
      </c>
      <c r="F114" t="s">
        <v>19</v>
      </c>
      <c r="G114" t="s">
        <v>29</v>
      </c>
      <c r="H114" t="s">
        <v>30</v>
      </c>
      <c r="I114" s="4">
        <v>879.2</v>
      </c>
      <c r="J114">
        <v>7</v>
      </c>
      <c r="K114" s="2">
        <v>0.15</v>
      </c>
      <c r="L114" s="4">
        <v>164.59</v>
      </c>
      <c r="M114" t="s">
        <v>38</v>
      </c>
      <c r="N114" t="s">
        <v>39</v>
      </c>
      <c r="O114">
        <f>YEAR(Table1[[#This Row],[Order Date]])</f>
        <v>2025</v>
      </c>
      <c r="P114" t="str">
        <f>TEXT(Table1[[#This Row],[Order Date]],"mmmm")</f>
        <v>July</v>
      </c>
      <c r="Q114" t="str">
        <f>TEXT(Table1[[#This Row],[Order Date]],"mm")</f>
        <v>07</v>
      </c>
      <c r="R114" s="2">
        <f>Table1[[#This Row],[Profit]]/Table1[[#This Row],[Sales]]</f>
        <v>0.18720427661510464</v>
      </c>
      <c r="S114" t="str">
        <f t="shared" si="1"/>
        <v>Medium (11-20%)</v>
      </c>
    </row>
    <row r="115" spans="1:19" x14ac:dyDescent="0.2">
      <c r="A115" t="s">
        <v>398</v>
      </c>
      <c r="B115" s="3" t="s">
        <v>399</v>
      </c>
      <c r="C115" t="s">
        <v>343</v>
      </c>
      <c r="D115" t="s">
        <v>17</v>
      </c>
      <c r="E115" t="s">
        <v>54</v>
      </c>
      <c r="F115" t="s">
        <v>19</v>
      </c>
      <c r="G115" t="s">
        <v>20</v>
      </c>
      <c r="H115" t="s">
        <v>347</v>
      </c>
      <c r="I115" s="4">
        <v>3731.34</v>
      </c>
      <c r="J115">
        <v>6</v>
      </c>
      <c r="K115" s="2">
        <v>0.2</v>
      </c>
      <c r="L115" s="4">
        <v>846.82</v>
      </c>
      <c r="M115" t="s">
        <v>38</v>
      </c>
      <c r="N115" t="s">
        <v>32</v>
      </c>
      <c r="O115">
        <f>YEAR(Table1[[#This Row],[Order Date]])</f>
        <v>2024</v>
      </c>
      <c r="P115" t="str">
        <f>TEXT(Table1[[#This Row],[Order Date]],"mmmm")</f>
        <v>July</v>
      </c>
      <c r="Q115" t="str">
        <f>TEXT(Table1[[#This Row],[Order Date]],"mm")</f>
        <v>07</v>
      </c>
      <c r="R115" s="2">
        <f>Table1[[#This Row],[Profit]]/Table1[[#This Row],[Sales]]</f>
        <v>0.22694795971420456</v>
      </c>
      <c r="S115" t="str">
        <f t="shared" si="1"/>
        <v>Medium (11-20%)</v>
      </c>
    </row>
    <row r="116" spans="1:19" x14ac:dyDescent="0.2">
      <c r="A116" t="s">
        <v>400</v>
      </c>
      <c r="B116" s="3" t="s">
        <v>401</v>
      </c>
      <c r="C116" t="s">
        <v>402</v>
      </c>
      <c r="D116" t="s">
        <v>137</v>
      </c>
      <c r="E116" t="s">
        <v>160</v>
      </c>
      <c r="F116" t="s">
        <v>55</v>
      </c>
      <c r="G116" t="s">
        <v>56</v>
      </c>
      <c r="H116" t="s">
        <v>57</v>
      </c>
      <c r="I116" s="4">
        <v>416.8</v>
      </c>
      <c r="J116">
        <v>10</v>
      </c>
      <c r="K116" s="2">
        <v>0</v>
      </c>
      <c r="L116" s="4">
        <v>155.55000000000001</v>
      </c>
      <c r="M116" t="s">
        <v>195</v>
      </c>
      <c r="N116" t="s">
        <v>76</v>
      </c>
      <c r="O116">
        <f>YEAR(Table1[[#This Row],[Order Date]])</f>
        <v>2024</v>
      </c>
      <c r="P116" t="str">
        <f>TEXT(Table1[[#This Row],[Order Date]],"mmmm")</f>
        <v>October</v>
      </c>
      <c r="Q116" t="str">
        <f>TEXT(Table1[[#This Row],[Order Date]],"mm")</f>
        <v>10</v>
      </c>
      <c r="R116" s="2">
        <f>Table1[[#This Row],[Profit]]/Table1[[#This Row],[Sales]]</f>
        <v>0.37320057581573896</v>
      </c>
      <c r="S116" t="str">
        <f t="shared" si="1"/>
        <v>No Discount</v>
      </c>
    </row>
    <row r="117" spans="1:19" x14ac:dyDescent="0.2">
      <c r="A117" t="s">
        <v>403</v>
      </c>
      <c r="B117" s="3" t="s">
        <v>188</v>
      </c>
      <c r="C117" t="s">
        <v>343</v>
      </c>
      <c r="D117" t="s">
        <v>17</v>
      </c>
      <c r="E117" t="s">
        <v>18</v>
      </c>
      <c r="F117" t="s">
        <v>19</v>
      </c>
      <c r="G117" t="s">
        <v>29</v>
      </c>
      <c r="H117" t="s">
        <v>50</v>
      </c>
      <c r="I117" s="4">
        <v>11511.7</v>
      </c>
      <c r="J117">
        <v>10</v>
      </c>
      <c r="K117" s="2">
        <v>0.2</v>
      </c>
      <c r="L117" s="4">
        <v>1606.08</v>
      </c>
      <c r="M117" t="s">
        <v>31</v>
      </c>
      <c r="N117" t="s">
        <v>76</v>
      </c>
      <c r="O117">
        <f>YEAR(Table1[[#This Row],[Order Date]])</f>
        <v>2025</v>
      </c>
      <c r="P117" t="str">
        <f>TEXT(Table1[[#This Row],[Order Date]],"mmmm")</f>
        <v>June</v>
      </c>
      <c r="Q117" t="str">
        <f>TEXT(Table1[[#This Row],[Order Date]],"mm")</f>
        <v>06</v>
      </c>
      <c r="R117" s="2">
        <f>Table1[[#This Row],[Profit]]/Table1[[#This Row],[Sales]]</f>
        <v>0.13951718686206205</v>
      </c>
      <c r="S117" t="str">
        <f t="shared" si="1"/>
        <v>Medium (11-20%)</v>
      </c>
    </row>
    <row r="118" spans="1:19" x14ac:dyDescent="0.2">
      <c r="A118" t="s">
        <v>404</v>
      </c>
      <c r="B118" s="3" t="s">
        <v>405</v>
      </c>
      <c r="C118" t="s">
        <v>265</v>
      </c>
      <c r="D118" t="s">
        <v>48</v>
      </c>
      <c r="E118" t="s">
        <v>110</v>
      </c>
      <c r="F118" t="s">
        <v>67</v>
      </c>
      <c r="G118" t="s">
        <v>115</v>
      </c>
      <c r="H118" t="s">
        <v>178</v>
      </c>
      <c r="I118" s="4">
        <v>4603.12</v>
      </c>
      <c r="J118">
        <v>8</v>
      </c>
      <c r="K118" s="2">
        <v>0.15</v>
      </c>
      <c r="L118" s="4">
        <v>292.55</v>
      </c>
      <c r="M118" t="s">
        <v>22</v>
      </c>
      <c r="N118" t="s">
        <v>76</v>
      </c>
      <c r="O118">
        <f>YEAR(Table1[[#This Row],[Order Date]])</f>
        <v>2025</v>
      </c>
      <c r="P118" t="str">
        <f>TEXT(Table1[[#This Row],[Order Date]],"mmmm")</f>
        <v>December</v>
      </c>
      <c r="Q118" t="str">
        <f>TEXT(Table1[[#This Row],[Order Date]],"mm")</f>
        <v>12</v>
      </c>
      <c r="R118" s="2">
        <f>Table1[[#This Row],[Profit]]/Table1[[#This Row],[Sales]]</f>
        <v>6.3554719407706087E-2</v>
      </c>
      <c r="S118" t="str">
        <f t="shared" si="1"/>
        <v>Medium (11-20%)</v>
      </c>
    </row>
    <row r="119" spans="1:19" x14ac:dyDescent="0.2">
      <c r="A119" t="s">
        <v>406</v>
      </c>
      <c r="B119" s="3" t="s">
        <v>407</v>
      </c>
      <c r="C119" t="s">
        <v>408</v>
      </c>
      <c r="D119" t="s">
        <v>137</v>
      </c>
      <c r="E119" t="s">
        <v>160</v>
      </c>
      <c r="F119" t="s">
        <v>67</v>
      </c>
      <c r="G119" t="s">
        <v>115</v>
      </c>
      <c r="H119" t="s">
        <v>178</v>
      </c>
      <c r="I119" s="4">
        <v>4821.6000000000004</v>
      </c>
      <c r="J119">
        <v>8</v>
      </c>
      <c r="K119" s="2">
        <v>0.3</v>
      </c>
      <c r="L119" s="4">
        <v>487.62</v>
      </c>
      <c r="M119" t="s">
        <v>143</v>
      </c>
      <c r="N119" t="s">
        <v>39</v>
      </c>
      <c r="O119">
        <f>YEAR(Table1[[#This Row],[Order Date]])</f>
        <v>2024</v>
      </c>
      <c r="P119" t="str">
        <f>TEXT(Table1[[#This Row],[Order Date]],"mmmm")</f>
        <v>March</v>
      </c>
      <c r="Q119" t="str">
        <f>TEXT(Table1[[#This Row],[Order Date]],"mm")</f>
        <v>03</v>
      </c>
      <c r="R119" s="2">
        <f>Table1[[#This Row],[Profit]]/Table1[[#This Row],[Sales]]</f>
        <v>0.10113240418118466</v>
      </c>
      <c r="S119" t="str">
        <f t="shared" si="1"/>
        <v>High (21-30%)</v>
      </c>
    </row>
    <row r="120" spans="1:19" x14ac:dyDescent="0.2">
      <c r="A120" t="s">
        <v>409</v>
      </c>
      <c r="B120" s="3" t="s">
        <v>410</v>
      </c>
      <c r="C120" t="s">
        <v>411</v>
      </c>
      <c r="D120" t="s">
        <v>48</v>
      </c>
      <c r="E120" t="s">
        <v>84</v>
      </c>
      <c r="F120" t="s">
        <v>19</v>
      </c>
      <c r="G120" t="s">
        <v>29</v>
      </c>
      <c r="H120" t="s">
        <v>30</v>
      </c>
      <c r="I120" s="4">
        <v>235.08</v>
      </c>
      <c r="J120">
        <v>1</v>
      </c>
      <c r="K120" s="2">
        <v>0</v>
      </c>
      <c r="L120" s="4">
        <v>40.97</v>
      </c>
      <c r="M120" t="s">
        <v>87</v>
      </c>
      <c r="N120" t="s">
        <v>76</v>
      </c>
      <c r="O120">
        <f>YEAR(Table1[[#This Row],[Order Date]])</f>
        <v>2024</v>
      </c>
      <c r="P120" t="str">
        <f>TEXT(Table1[[#This Row],[Order Date]],"mmmm")</f>
        <v>May</v>
      </c>
      <c r="Q120" t="str">
        <f>TEXT(Table1[[#This Row],[Order Date]],"mm")</f>
        <v>05</v>
      </c>
      <c r="R120" s="2">
        <f>Table1[[#This Row],[Profit]]/Table1[[#This Row],[Sales]]</f>
        <v>0.17428109579717541</v>
      </c>
      <c r="S120" t="str">
        <f t="shared" si="1"/>
        <v>No Discount</v>
      </c>
    </row>
    <row r="121" spans="1:19" x14ac:dyDescent="0.2">
      <c r="A121" t="s">
        <v>412</v>
      </c>
      <c r="B121" s="3" t="s">
        <v>413</v>
      </c>
      <c r="C121" t="s">
        <v>324</v>
      </c>
      <c r="D121" t="s">
        <v>137</v>
      </c>
      <c r="E121" t="s">
        <v>142</v>
      </c>
      <c r="F121" t="s">
        <v>55</v>
      </c>
      <c r="G121" t="s">
        <v>98</v>
      </c>
      <c r="H121" t="s">
        <v>154</v>
      </c>
      <c r="I121" s="4">
        <v>6252.24</v>
      </c>
      <c r="J121">
        <v>6</v>
      </c>
      <c r="K121" s="2">
        <v>0.25</v>
      </c>
      <c r="L121" s="4">
        <v>607.07000000000005</v>
      </c>
      <c r="M121" t="s">
        <v>87</v>
      </c>
      <c r="N121" t="s">
        <v>32</v>
      </c>
      <c r="O121">
        <f>YEAR(Table1[[#This Row],[Order Date]])</f>
        <v>2025</v>
      </c>
      <c r="P121" t="str">
        <f>TEXT(Table1[[#This Row],[Order Date]],"mmmm")</f>
        <v>January</v>
      </c>
      <c r="Q121" t="str">
        <f>TEXT(Table1[[#This Row],[Order Date]],"mm")</f>
        <v>01</v>
      </c>
      <c r="R121" s="2">
        <f>Table1[[#This Row],[Profit]]/Table1[[#This Row],[Sales]]</f>
        <v>9.7096400650007048E-2</v>
      </c>
      <c r="S121" t="str">
        <f t="shared" si="1"/>
        <v>High (21-30%)</v>
      </c>
    </row>
    <row r="122" spans="1:19" x14ac:dyDescent="0.2">
      <c r="A122" t="s">
        <v>414</v>
      </c>
      <c r="B122" s="3" t="s">
        <v>415</v>
      </c>
      <c r="C122" t="s">
        <v>169</v>
      </c>
      <c r="D122" t="s">
        <v>137</v>
      </c>
      <c r="E122" t="s">
        <v>142</v>
      </c>
      <c r="F122" t="s">
        <v>55</v>
      </c>
      <c r="G122" t="s">
        <v>56</v>
      </c>
      <c r="H122" t="s">
        <v>62</v>
      </c>
      <c r="I122" s="4">
        <v>3046.82</v>
      </c>
      <c r="J122">
        <v>7</v>
      </c>
      <c r="K122" s="2">
        <v>0.15</v>
      </c>
      <c r="L122" s="4">
        <v>726.68</v>
      </c>
      <c r="M122" t="s">
        <v>117</v>
      </c>
      <c r="N122" t="s">
        <v>39</v>
      </c>
      <c r="O122">
        <f>YEAR(Table1[[#This Row],[Order Date]])</f>
        <v>2024</v>
      </c>
      <c r="P122" t="str">
        <f>TEXT(Table1[[#This Row],[Order Date]],"mmmm")</f>
        <v>December</v>
      </c>
      <c r="Q122" t="str">
        <f>TEXT(Table1[[#This Row],[Order Date]],"mm")</f>
        <v>12</v>
      </c>
      <c r="R122" s="2">
        <f>Table1[[#This Row],[Profit]]/Table1[[#This Row],[Sales]]</f>
        <v>0.23850440787443955</v>
      </c>
      <c r="S122" t="str">
        <f t="shared" si="1"/>
        <v>Medium (11-20%)</v>
      </c>
    </row>
    <row r="123" spans="1:19" x14ac:dyDescent="0.2">
      <c r="A123" t="s">
        <v>416</v>
      </c>
      <c r="B123" s="3" t="s">
        <v>417</v>
      </c>
      <c r="C123" t="s">
        <v>418</v>
      </c>
      <c r="D123" t="s">
        <v>137</v>
      </c>
      <c r="E123" t="s">
        <v>142</v>
      </c>
      <c r="F123" t="s">
        <v>19</v>
      </c>
      <c r="G123" t="s">
        <v>20</v>
      </c>
      <c r="H123" t="s">
        <v>21</v>
      </c>
      <c r="I123" s="4">
        <v>7186.88</v>
      </c>
      <c r="J123">
        <v>8</v>
      </c>
      <c r="K123" s="2">
        <v>0.1</v>
      </c>
      <c r="L123" s="4">
        <v>248.3</v>
      </c>
      <c r="M123" t="s">
        <v>87</v>
      </c>
      <c r="N123" t="s">
        <v>23</v>
      </c>
      <c r="O123">
        <f>YEAR(Table1[[#This Row],[Order Date]])</f>
        <v>2024</v>
      </c>
      <c r="P123" t="str">
        <f>TEXT(Table1[[#This Row],[Order Date]],"mmmm")</f>
        <v>March</v>
      </c>
      <c r="Q123" t="str">
        <f>TEXT(Table1[[#This Row],[Order Date]],"mm")</f>
        <v>03</v>
      </c>
      <c r="R123" s="2">
        <f>Table1[[#This Row],[Profit]]/Table1[[#This Row],[Sales]]</f>
        <v>3.4549067189100141E-2</v>
      </c>
      <c r="S123" t="str">
        <f t="shared" si="1"/>
        <v>Low (1-10%)</v>
      </c>
    </row>
    <row r="124" spans="1:19" x14ac:dyDescent="0.2">
      <c r="A124" t="s">
        <v>419</v>
      </c>
      <c r="B124" s="3" t="s">
        <v>420</v>
      </c>
      <c r="C124" t="s">
        <v>421</v>
      </c>
      <c r="D124" t="s">
        <v>48</v>
      </c>
      <c r="E124" t="s">
        <v>49</v>
      </c>
      <c r="F124" t="s">
        <v>67</v>
      </c>
      <c r="G124" t="s">
        <v>115</v>
      </c>
      <c r="H124" t="s">
        <v>178</v>
      </c>
      <c r="I124" s="4">
        <v>7201.2</v>
      </c>
      <c r="J124">
        <v>10</v>
      </c>
      <c r="K124" s="2">
        <v>0.1</v>
      </c>
      <c r="L124" s="4">
        <v>-236.61</v>
      </c>
      <c r="M124" t="s">
        <v>117</v>
      </c>
      <c r="N124" t="s">
        <v>39</v>
      </c>
      <c r="O124">
        <f>YEAR(Table1[[#This Row],[Order Date]])</f>
        <v>2024</v>
      </c>
      <c r="P124" t="str">
        <f>TEXT(Table1[[#This Row],[Order Date]],"mmmm")</f>
        <v>July</v>
      </c>
      <c r="Q124" t="str">
        <f>TEXT(Table1[[#This Row],[Order Date]],"mm")</f>
        <v>07</v>
      </c>
      <c r="R124" s="2">
        <f>Table1[[#This Row],[Profit]]/Table1[[#This Row],[Sales]]</f>
        <v>-3.2857023829361773E-2</v>
      </c>
      <c r="S124" t="str">
        <f t="shared" si="1"/>
        <v>Low (1-10%)</v>
      </c>
    </row>
    <row r="125" spans="1:19" x14ac:dyDescent="0.2">
      <c r="A125" t="s">
        <v>422</v>
      </c>
      <c r="B125" s="3" t="s">
        <v>423</v>
      </c>
      <c r="C125" t="s">
        <v>26</v>
      </c>
      <c r="D125" t="s">
        <v>48</v>
      </c>
      <c r="E125" t="s">
        <v>84</v>
      </c>
      <c r="F125" t="s">
        <v>19</v>
      </c>
      <c r="G125" t="s">
        <v>29</v>
      </c>
      <c r="H125" t="s">
        <v>199</v>
      </c>
      <c r="I125" s="4">
        <v>3163.8</v>
      </c>
      <c r="J125">
        <v>6</v>
      </c>
      <c r="K125" s="2">
        <v>0</v>
      </c>
      <c r="L125" s="4">
        <v>428.01</v>
      </c>
      <c r="M125" t="s">
        <v>107</v>
      </c>
      <c r="N125" t="s">
        <v>76</v>
      </c>
      <c r="O125">
        <f>YEAR(Table1[[#This Row],[Order Date]])</f>
        <v>2024</v>
      </c>
      <c r="P125" t="str">
        <f>TEXT(Table1[[#This Row],[Order Date]],"mmmm")</f>
        <v>October</v>
      </c>
      <c r="Q125" t="str">
        <f>TEXT(Table1[[#This Row],[Order Date]],"mm")</f>
        <v>10</v>
      </c>
      <c r="R125" s="2">
        <f>Table1[[#This Row],[Profit]]/Table1[[#This Row],[Sales]]</f>
        <v>0.13528351981794043</v>
      </c>
      <c r="S125" t="str">
        <f t="shared" si="1"/>
        <v>No Discount</v>
      </c>
    </row>
    <row r="126" spans="1:19" x14ac:dyDescent="0.2">
      <c r="A126" t="s">
        <v>424</v>
      </c>
      <c r="B126" s="3" t="s">
        <v>425</v>
      </c>
      <c r="C126" t="s">
        <v>16</v>
      </c>
      <c r="D126" t="s">
        <v>27</v>
      </c>
      <c r="E126" t="s">
        <v>28</v>
      </c>
      <c r="F126" t="s">
        <v>55</v>
      </c>
      <c r="G126" t="s">
        <v>56</v>
      </c>
      <c r="H126" t="s">
        <v>57</v>
      </c>
      <c r="I126" s="4">
        <v>349.36</v>
      </c>
      <c r="J126">
        <v>1</v>
      </c>
      <c r="K126" s="2">
        <v>0.15</v>
      </c>
      <c r="L126" s="4">
        <v>98.56</v>
      </c>
      <c r="M126" t="s">
        <v>22</v>
      </c>
      <c r="N126" t="s">
        <v>23</v>
      </c>
      <c r="O126">
        <f>YEAR(Table1[[#This Row],[Order Date]])</f>
        <v>2024</v>
      </c>
      <c r="P126" t="str">
        <f>TEXT(Table1[[#This Row],[Order Date]],"mmmm")</f>
        <v>April</v>
      </c>
      <c r="Q126" t="str">
        <f>TEXT(Table1[[#This Row],[Order Date]],"mm")</f>
        <v>04</v>
      </c>
      <c r="R126" s="2">
        <f>Table1[[#This Row],[Profit]]/Table1[[#This Row],[Sales]]</f>
        <v>0.28211586901763225</v>
      </c>
      <c r="S126" t="str">
        <f t="shared" si="1"/>
        <v>Medium (11-20%)</v>
      </c>
    </row>
    <row r="127" spans="1:19" x14ac:dyDescent="0.2">
      <c r="A127" t="s">
        <v>426</v>
      </c>
      <c r="B127" s="3" t="s">
        <v>427</v>
      </c>
      <c r="C127" t="s">
        <v>90</v>
      </c>
      <c r="D127" t="s">
        <v>48</v>
      </c>
      <c r="E127" t="s">
        <v>84</v>
      </c>
      <c r="F127" t="s">
        <v>19</v>
      </c>
      <c r="G127" t="s">
        <v>29</v>
      </c>
      <c r="H127" t="s">
        <v>199</v>
      </c>
      <c r="I127" s="4">
        <v>763.62</v>
      </c>
      <c r="J127">
        <v>2</v>
      </c>
      <c r="K127" s="2">
        <v>0.1</v>
      </c>
      <c r="L127" s="4">
        <v>198.23</v>
      </c>
      <c r="M127" t="s">
        <v>195</v>
      </c>
      <c r="N127" t="s">
        <v>39</v>
      </c>
      <c r="O127">
        <f>YEAR(Table1[[#This Row],[Order Date]])</f>
        <v>2024</v>
      </c>
      <c r="P127" t="str">
        <f>TEXT(Table1[[#This Row],[Order Date]],"mmmm")</f>
        <v>September</v>
      </c>
      <c r="Q127" t="str">
        <f>TEXT(Table1[[#This Row],[Order Date]],"mm")</f>
        <v>09</v>
      </c>
      <c r="R127" s="2">
        <f>Table1[[#This Row],[Profit]]/Table1[[#This Row],[Sales]]</f>
        <v>0.25959246745763598</v>
      </c>
      <c r="S127" t="str">
        <f t="shared" si="1"/>
        <v>Low (1-10%)</v>
      </c>
    </row>
    <row r="128" spans="1:19" x14ac:dyDescent="0.2">
      <c r="A128" t="s">
        <v>428</v>
      </c>
      <c r="B128" s="3" t="s">
        <v>429</v>
      </c>
      <c r="C128" t="s">
        <v>235</v>
      </c>
      <c r="D128" t="s">
        <v>17</v>
      </c>
      <c r="E128" t="s">
        <v>80</v>
      </c>
      <c r="F128" t="s">
        <v>55</v>
      </c>
      <c r="G128" t="s">
        <v>56</v>
      </c>
      <c r="H128" t="s">
        <v>62</v>
      </c>
      <c r="I128" s="4">
        <v>1716.88</v>
      </c>
      <c r="J128">
        <v>8</v>
      </c>
      <c r="K128" s="2">
        <v>0.15</v>
      </c>
      <c r="L128" s="4">
        <v>186.44</v>
      </c>
      <c r="M128" t="s">
        <v>22</v>
      </c>
      <c r="N128" t="s">
        <v>32</v>
      </c>
      <c r="O128">
        <f>YEAR(Table1[[#This Row],[Order Date]])</f>
        <v>2024</v>
      </c>
      <c r="P128" t="str">
        <f>TEXT(Table1[[#This Row],[Order Date]],"mmmm")</f>
        <v>August</v>
      </c>
      <c r="Q128" t="str">
        <f>TEXT(Table1[[#This Row],[Order Date]],"mm")</f>
        <v>08</v>
      </c>
      <c r="R128" s="2">
        <f>Table1[[#This Row],[Profit]]/Table1[[#This Row],[Sales]]</f>
        <v>0.1085923302735194</v>
      </c>
      <c r="S128" t="str">
        <f t="shared" si="1"/>
        <v>Medium (11-20%)</v>
      </c>
    </row>
    <row r="129" spans="1:19" x14ac:dyDescent="0.2">
      <c r="A129" t="s">
        <v>430</v>
      </c>
      <c r="B129" s="3" t="s">
        <v>431</v>
      </c>
      <c r="C129" t="s">
        <v>311</v>
      </c>
      <c r="D129" t="s">
        <v>17</v>
      </c>
      <c r="E129" t="s">
        <v>80</v>
      </c>
      <c r="F129" t="s">
        <v>19</v>
      </c>
      <c r="G129" t="s">
        <v>20</v>
      </c>
      <c r="H129" t="s">
        <v>239</v>
      </c>
      <c r="I129" s="4">
        <v>1169.3900000000001</v>
      </c>
      <c r="J129">
        <v>1</v>
      </c>
      <c r="K129" s="2">
        <v>0.25</v>
      </c>
      <c r="L129" s="4">
        <v>100.02</v>
      </c>
      <c r="M129" t="s">
        <v>63</v>
      </c>
      <c r="N129" t="s">
        <v>39</v>
      </c>
      <c r="O129">
        <f>YEAR(Table1[[#This Row],[Order Date]])</f>
        <v>2025</v>
      </c>
      <c r="P129" t="str">
        <f>TEXT(Table1[[#This Row],[Order Date]],"mmmm")</f>
        <v>April</v>
      </c>
      <c r="Q129" t="str">
        <f>TEXT(Table1[[#This Row],[Order Date]],"mm")</f>
        <v>04</v>
      </c>
      <c r="R129" s="2">
        <f>Table1[[#This Row],[Profit]]/Table1[[#This Row],[Sales]]</f>
        <v>8.5531772975653966E-2</v>
      </c>
      <c r="S129" t="str">
        <f t="shared" si="1"/>
        <v>High (21-30%)</v>
      </c>
    </row>
    <row r="130" spans="1:19" x14ac:dyDescent="0.2">
      <c r="A130" t="s">
        <v>432</v>
      </c>
      <c r="B130" s="3" t="s">
        <v>433</v>
      </c>
      <c r="C130" t="s">
        <v>434</v>
      </c>
      <c r="D130" t="s">
        <v>27</v>
      </c>
      <c r="E130" t="s">
        <v>28</v>
      </c>
      <c r="F130" t="s">
        <v>67</v>
      </c>
      <c r="G130" t="s">
        <v>115</v>
      </c>
      <c r="H130" t="s">
        <v>116</v>
      </c>
      <c r="I130" s="4">
        <v>834.76</v>
      </c>
      <c r="J130">
        <v>1</v>
      </c>
      <c r="K130" s="2">
        <v>0.15</v>
      </c>
      <c r="L130" s="4">
        <v>-69.47</v>
      </c>
      <c r="M130" t="s">
        <v>195</v>
      </c>
      <c r="N130" t="s">
        <v>76</v>
      </c>
      <c r="O130">
        <f>YEAR(Table1[[#This Row],[Order Date]])</f>
        <v>2024</v>
      </c>
      <c r="P130" t="str">
        <f>TEXT(Table1[[#This Row],[Order Date]],"mmmm")</f>
        <v>June</v>
      </c>
      <c r="Q130" t="str">
        <f>TEXT(Table1[[#This Row],[Order Date]],"mm")</f>
        <v>06</v>
      </c>
      <c r="R130" s="2">
        <f>Table1[[#This Row],[Profit]]/Table1[[#This Row],[Sales]]</f>
        <v>-8.3221524749628642E-2</v>
      </c>
      <c r="S130" t="str">
        <f t="shared" ref="S130:S193" si="2">IF(K130=0,"No Discount",
IF(K130&lt;=0.1,"Low (1-10%)",
IF(K130&lt;=0.2,"Medium (11-20%)",
IF(K130&lt;=0.3,"High (21-30%)","Very High (&gt;30%)"))))</f>
        <v>Medium (11-20%)</v>
      </c>
    </row>
    <row r="131" spans="1:19" x14ac:dyDescent="0.2">
      <c r="A131" t="s">
        <v>435</v>
      </c>
      <c r="B131" s="3" t="s">
        <v>436</v>
      </c>
      <c r="C131" t="s">
        <v>370</v>
      </c>
      <c r="D131" t="s">
        <v>48</v>
      </c>
      <c r="E131" t="s">
        <v>49</v>
      </c>
      <c r="F131" t="s">
        <v>55</v>
      </c>
      <c r="G131" t="s">
        <v>56</v>
      </c>
      <c r="H131" t="s">
        <v>57</v>
      </c>
      <c r="I131" s="4">
        <v>4253.3</v>
      </c>
      <c r="J131">
        <v>5</v>
      </c>
      <c r="K131" s="2">
        <v>0.25</v>
      </c>
      <c r="L131" s="4">
        <v>-466.39</v>
      </c>
      <c r="M131" t="s">
        <v>31</v>
      </c>
      <c r="N131" t="s">
        <v>39</v>
      </c>
      <c r="O131">
        <f>YEAR(Table1[[#This Row],[Order Date]])</f>
        <v>2024</v>
      </c>
      <c r="P131" t="str">
        <f>TEXT(Table1[[#This Row],[Order Date]],"mmmm")</f>
        <v>November</v>
      </c>
      <c r="Q131" t="str">
        <f>TEXT(Table1[[#This Row],[Order Date]],"mm")</f>
        <v>11</v>
      </c>
      <c r="R131" s="2">
        <f>Table1[[#This Row],[Profit]]/Table1[[#This Row],[Sales]]</f>
        <v>-0.10965368067147861</v>
      </c>
      <c r="S131" t="str">
        <f t="shared" si="2"/>
        <v>High (21-30%)</v>
      </c>
    </row>
    <row r="132" spans="1:19" x14ac:dyDescent="0.2">
      <c r="A132" t="s">
        <v>437</v>
      </c>
      <c r="B132" s="3" t="s">
        <v>438</v>
      </c>
      <c r="C132" t="s">
        <v>439</v>
      </c>
      <c r="D132" t="s">
        <v>27</v>
      </c>
      <c r="E132" t="s">
        <v>61</v>
      </c>
      <c r="F132" t="s">
        <v>19</v>
      </c>
      <c r="G132" t="s">
        <v>29</v>
      </c>
      <c r="H132" t="s">
        <v>30</v>
      </c>
      <c r="I132" s="4">
        <v>3478.58</v>
      </c>
      <c r="J132">
        <v>7</v>
      </c>
      <c r="K132" s="2">
        <v>0.3</v>
      </c>
      <c r="L132" s="4">
        <v>-431.2</v>
      </c>
      <c r="M132" t="s">
        <v>107</v>
      </c>
      <c r="N132" t="s">
        <v>39</v>
      </c>
      <c r="O132">
        <f>YEAR(Table1[[#This Row],[Order Date]])</f>
        <v>2025</v>
      </c>
      <c r="P132" t="str">
        <f>TEXT(Table1[[#This Row],[Order Date]],"mmmm")</f>
        <v>May</v>
      </c>
      <c r="Q132" t="str">
        <f>TEXT(Table1[[#This Row],[Order Date]],"mm")</f>
        <v>05</v>
      </c>
      <c r="R132" s="2">
        <f>Table1[[#This Row],[Profit]]/Table1[[#This Row],[Sales]]</f>
        <v>-0.12395862679599147</v>
      </c>
      <c r="S132" t="str">
        <f t="shared" si="2"/>
        <v>High (21-30%)</v>
      </c>
    </row>
    <row r="133" spans="1:19" x14ac:dyDescent="0.2">
      <c r="A133" t="s">
        <v>440</v>
      </c>
      <c r="B133" s="3" t="s">
        <v>441</v>
      </c>
      <c r="C133" t="s">
        <v>442</v>
      </c>
      <c r="D133" t="s">
        <v>48</v>
      </c>
      <c r="E133" t="s">
        <v>49</v>
      </c>
      <c r="F133" t="s">
        <v>19</v>
      </c>
      <c r="G133" t="s">
        <v>20</v>
      </c>
      <c r="H133" t="s">
        <v>347</v>
      </c>
      <c r="I133" s="4">
        <v>9469.7999999999993</v>
      </c>
      <c r="J133">
        <v>9</v>
      </c>
      <c r="K133" s="2">
        <v>0.1</v>
      </c>
      <c r="L133" s="4">
        <v>2534.31</v>
      </c>
      <c r="M133" t="s">
        <v>87</v>
      </c>
      <c r="N133" t="s">
        <v>76</v>
      </c>
      <c r="O133">
        <f>YEAR(Table1[[#This Row],[Order Date]])</f>
        <v>2025</v>
      </c>
      <c r="P133" t="str">
        <f>TEXT(Table1[[#This Row],[Order Date]],"mmmm")</f>
        <v>July</v>
      </c>
      <c r="Q133" t="str">
        <f>TEXT(Table1[[#This Row],[Order Date]],"mm")</f>
        <v>07</v>
      </c>
      <c r="R133" s="2">
        <f>Table1[[#This Row],[Profit]]/Table1[[#This Row],[Sales]]</f>
        <v>0.2676202242919597</v>
      </c>
      <c r="S133" t="str">
        <f t="shared" si="2"/>
        <v>Low (1-10%)</v>
      </c>
    </row>
    <row r="134" spans="1:19" x14ac:dyDescent="0.2">
      <c r="A134" t="s">
        <v>443</v>
      </c>
      <c r="B134" s="3" t="s">
        <v>444</v>
      </c>
      <c r="C134" t="s">
        <v>271</v>
      </c>
      <c r="D134" t="s">
        <v>48</v>
      </c>
      <c r="E134" t="s">
        <v>110</v>
      </c>
      <c r="F134" t="s">
        <v>67</v>
      </c>
      <c r="G134" t="s">
        <v>85</v>
      </c>
      <c r="H134" t="s">
        <v>253</v>
      </c>
      <c r="I134" s="4">
        <v>4185.93</v>
      </c>
      <c r="J134">
        <v>7</v>
      </c>
      <c r="K134" s="2">
        <v>0.1</v>
      </c>
      <c r="L134" s="4">
        <v>181.17</v>
      </c>
      <c r="M134" t="s">
        <v>87</v>
      </c>
      <c r="N134" t="s">
        <v>32</v>
      </c>
      <c r="O134">
        <f>YEAR(Table1[[#This Row],[Order Date]])</f>
        <v>2025</v>
      </c>
      <c r="P134" t="str">
        <f>TEXT(Table1[[#This Row],[Order Date]],"mmmm")</f>
        <v>December</v>
      </c>
      <c r="Q134" t="str">
        <f>TEXT(Table1[[#This Row],[Order Date]],"mm")</f>
        <v>12</v>
      </c>
      <c r="R134" s="2">
        <f>Table1[[#This Row],[Profit]]/Table1[[#This Row],[Sales]]</f>
        <v>4.3280704646279318E-2</v>
      </c>
      <c r="S134" t="str">
        <f t="shared" si="2"/>
        <v>Low (1-10%)</v>
      </c>
    </row>
    <row r="135" spans="1:19" x14ac:dyDescent="0.2">
      <c r="A135" t="s">
        <v>445</v>
      </c>
      <c r="B135" s="3" t="s">
        <v>446</v>
      </c>
      <c r="C135" t="s">
        <v>286</v>
      </c>
      <c r="D135" t="s">
        <v>27</v>
      </c>
      <c r="E135" t="s">
        <v>28</v>
      </c>
      <c r="F135" t="s">
        <v>19</v>
      </c>
      <c r="G135" t="s">
        <v>29</v>
      </c>
      <c r="H135" t="s">
        <v>50</v>
      </c>
      <c r="I135" s="4">
        <v>4187.82</v>
      </c>
      <c r="J135">
        <v>7</v>
      </c>
      <c r="K135" s="2">
        <v>0.2</v>
      </c>
      <c r="L135" s="4">
        <v>155.86000000000001</v>
      </c>
      <c r="M135" t="s">
        <v>38</v>
      </c>
      <c r="N135" t="s">
        <v>32</v>
      </c>
      <c r="O135">
        <f>YEAR(Table1[[#This Row],[Order Date]])</f>
        <v>2024</v>
      </c>
      <c r="P135" t="str">
        <f>TEXT(Table1[[#This Row],[Order Date]],"mmmm")</f>
        <v>March</v>
      </c>
      <c r="Q135" t="str">
        <f>TEXT(Table1[[#This Row],[Order Date]],"mm")</f>
        <v>03</v>
      </c>
      <c r="R135" s="2">
        <f>Table1[[#This Row],[Profit]]/Table1[[#This Row],[Sales]]</f>
        <v>3.721745442736317E-2</v>
      </c>
      <c r="S135" t="str">
        <f t="shared" si="2"/>
        <v>Medium (11-20%)</v>
      </c>
    </row>
    <row r="136" spans="1:19" x14ac:dyDescent="0.2">
      <c r="A136" t="s">
        <v>447</v>
      </c>
      <c r="B136" s="3" t="s">
        <v>448</v>
      </c>
      <c r="C136" t="s">
        <v>79</v>
      </c>
      <c r="D136" t="s">
        <v>137</v>
      </c>
      <c r="E136" t="s">
        <v>242</v>
      </c>
      <c r="F136" t="s">
        <v>55</v>
      </c>
      <c r="G136" t="s">
        <v>56</v>
      </c>
      <c r="H136" t="s">
        <v>57</v>
      </c>
      <c r="I136" s="4">
        <v>7119.06</v>
      </c>
      <c r="J136">
        <v>6</v>
      </c>
      <c r="K136" s="2">
        <v>0.15</v>
      </c>
      <c r="L136" s="4">
        <v>-297.89999999999998</v>
      </c>
      <c r="M136" t="s">
        <v>87</v>
      </c>
      <c r="N136" t="s">
        <v>39</v>
      </c>
      <c r="O136">
        <f>YEAR(Table1[[#This Row],[Order Date]])</f>
        <v>2025</v>
      </c>
      <c r="P136" t="str">
        <f>TEXT(Table1[[#This Row],[Order Date]],"mmmm")</f>
        <v>January</v>
      </c>
      <c r="Q136" t="str">
        <f>TEXT(Table1[[#This Row],[Order Date]],"mm")</f>
        <v>01</v>
      </c>
      <c r="R136" s="2">
        <f>Table1[[#This Row],[Profit]]/Table1[[#This Row],[Sales]]</f>
        <v>-4.1845412175202899E-2</v>
      </c>
      <c r="S136" t="str">
        <f t="shared" si="2"/>
        <v>Medium (11-20%)</v>
      </c>
    </row>
    <row r="137" spans="1:19" x14ac:dyDescent="0.2">
      <c r="A137" t="s">
        <v>449</v>
      </c>
      <c r="B137" s="3" t="s">
        <v>185</v>
      </c>
      <c r="C137" t="s">
        <v>450</v>
      </c>
      <c r="D137" t="s">
        <v>17</v>
      </c>
      <c r="E137" t="s">
        <v>97</v>
      </c>
      <c r="F137" t="s">
        <v>19</v>
      </c>
      <c r="G137" t="s">
        <v>29</v>
      </c>
      <c r="H137" t="s">
        <v>50</v>
      </c>
      <c r="I137" s="4">
        <v>3328.2</v>
      </c>
      <c r="J137">
        <v>4</v>
      </c>
      <c r="K137" s="2">
        <v>0</v>
      </c>
      <c r="L137" s="4">
        <v>588.05999999999995</v>
      </c>
      <c r="M137" t="s">
        <v>63</v>
      </c>
      <c r="N137" t="s">
        <v>32</v>
      </c>
      <c r="O137">
        <f>YEAR(Table1[[#This Row],[Order Date]])</f>
        <v>2025</v>
      </c>
      <c r="P137" t="str">
        <f>TEXT(Table1[[#This Row],[Order Date]],"mmmm")</f>
        <v>September</v>
      </c>
      <c r="Q137" t="str">
        <f>TEXT(Table1[[#This Row],[Order Date]],"mm")</f>
        <v>09</v>
      </c>
      <c r="R137" s="2">
        <f>Table1[[#This Row],[Profit]]/Table1[[#This Row],[Sales]]</f>
        <v>0.1766901027582477</v>
      </c>
      <c r="S137" t="str">
        <f t="shared" si="2"/>
        <v>No Discount</v>
      </c>
    </row>
    <row r="138" spans="1:19" x14ac:dyDescent="0.2">
      <c r="A138" t="s">
        <v>451</v>
      </c>
      <c r="B138" s="3" t="s">
        <v>438</v>
      </c>
      <c r="C138" t="s">
        <v>452</v>
      </c>
      <c r="D138" t="s">
        <v>27</v>
      </c>
      <c r="E138" t="s">
        <v>61</v>
      </c>
      <c r="F138" t="s">
        <v>19</v>
      </c>
      <c r="G138" t="s">
        <v>29</v>
      </c>
      <c r="H138" t="s">
        <v>50</v>
      </c>
      <c r="I138" s="4">
        <v>627.6</v>
      </c>
      <c r="J138">
        <v>10</v>
      </c>
      <c r="K138" s="2">
        <v>0.15</v>
      </c>
      <c r="L138" s="4">
        <v>-27.08</v>
      </c>
      <c r="M138" t="s">
        <v>117</v>
      </c>
      <c r="N138" t="s">
        <v>32</v>
      </c>
      <c r="O138">
        <f>YEAR(Table1[[#This Row],[Order Date]])</f>
        <v>2025</v>
      </c>
      <c r="P138" t="str">
        <f>TEXT(Table1[[#This Row],[Order Date]],"mmmm")</f>
        <v>May</v>
      </c>
      <c r="Q138" t="str">
        <f>TEXT(Table1[[#This Row],[Order Date]],"mm")</f>
        <v>05</v>
      </c>
      <c r="R138" s="2">
        <f>Table1[[#This Row],[Profit]]/Table1[[#This Row],[Sales]]</f>
        <v>-4.3148502230720198E-2</v>
      </c>
      <c r="S138" t="str">
        <f t="shared" si="2"/>
        <v>Medium (11-20%)</v>
      </c>
    </row>
    <row r="139" spans="1:19" x14ac:dyDescent="0.2">
      <c r="A139" t="s">
        <v>453</v>
      </c>
      <c r="B139" s="3" t="s">
        <v>454</v>
      </c>
      <c r="C139" t="s">
        <v>455</v>
      </c>
      <c r="D139" t="s">
        <v>137</v>
      </c>
      <c r="E139" t="s">
        <v>142</v>
      </c>
      <c r="F139" t="s">
        <v>19</v>
      </c>
      <c r="G139" t="s">
        <v>20</v>
      </c>
      <c r="H139" t="s">
        <v>21</v>
      </c>
      <c r="I139" s="4">
        <v>609.55999999999995</v>
      </c>
      <c r="J139">
        <v>1</v>
      </c>
      <c r="K139" s="2">
        <v>0.2</v>
      </c>
      <c r="L139" s="4">
        <v>43.11</v>
      </c>
      <c r="M139" t="s">
        <v>22</v>
      </c>
      <c r="N139" t="s">
        <v>39</v>
      </c>
      <c r="O139">
        <f>YEAR(Table1[[#This Row],[Order Date]])</f>
        <v>2025</v>
      </c>
      <c r="P139" t="str">
        <f>TEXT(Table1[[#This Row],[Order Date]],"mmmm")</f>
        <v>June</v>
      </c>
      <c r="Q139" t="str">
        <f>TEXT(Table1[[#This Row],[Order Date]],"mm")</f>
        <v>06</v>
      </c>
      <c r="R139" s="2">
        <f>Table1[[#This Row],[Profit]]/Table1[[#This Row],[Sales]]</f>
        <v>7.0723144563291554E-2</v>
      </c>
      <c r="S139" t="str">
        <f t="shared" si="2"/>
        <v>Medium (11-20%)</v>
      </c>
    </row>
    <row r="140" spans="1:19" x14ac:dyDescent="0.2">
      <c r="A140" t="s">
        <v>456</v>
      </c>
      <c r="B140" s="3" t="s">
        <v>457</v>
      </c>
      <c r="C140" t="s">
        <v>402</v>
      </c>
      <c r="D140" t="s">
        <v>27</v>
      </c>
      <c r="E140" t="s">
        <v>43</v>
      </c>
      <c r="F140" t="s">
        <v>67</v>
      </c>
      <c r="G140" t="s">
        <v>115</v>
      </c>
      <c r="H140" t="s">
        <v>212</v>
      </c>
      <c r="I140" s="4">
        <v>4031.91</v>
      </c>
      <c r="J140">
        <v>9</v>
      </c>
      <c r="K140" s="2">
        <v>0.1</v>
      </c>
      <c r="L140" s="4">
        <v>527.72</v>
      </c>
      <c r="M140" t="s">
        <v>44</v>
      </c>
      <c r="N140" t="s">
        <v>76</v>
      </c>
      <c r="O140">
        <f>YEAR(Table1[[#This Row],[Order Date]])</f>
        <v>2025</v>
      </c>
      <c r="P140" t="str">
        <f>TEXT(Table1[[#This Row],[Order Date]],"mmmm")</f>
        <v>April</v>
      </c>
      <c r="Q140" t="str">
        <f>TEXT(Table1[[#This Row],[Order Date]],"mm")</f>
        <v>04</v>
      </c>
      <c r="R140" s="2">
        <f>Table1[[#This Row],[Profit]]/Table1[[#This Row],[Sales]]</f>
        <v>0.13088585806726838</v>
      </c>
      <c r="S140" t="str">
        <f t="shared" si="2"/>
        <v>Low (1-10%)</v>
      </c>
    </row>
    <row r="141" spans="1:19" x14ac:dyDescent="0.2">
      <c r="A141" t="s">
        <v>458</v>
      </c>
      <c r="B141" s="3" t="s">
        <v>459</v>
      </c>
      <c r="C141" t="s">
        <v>460</v>
      </c>
      <c r="D141" t="s">
        <v>48</v>
      </c>
      <c r="E141" t="s">
        <v>110</v>
      </c>
      <c r="F141" t="s">
        <v>55</v>
      </c>
      <c r="G141" t="s">
        <v>56</v>
      </c>
      <c r="H141" t="s">
        <v>129</v>
      </c>
      <c r="I141" s="4">
        <v>1161.08</v>
      </c>
      <c r="J141">
        <v>2</v>
      </c>
      <c r="K141" s="2">
        <v>0.1</v>
      </c>
      <c r="L141" s="4">
        <v>62.78</v>
      </c>
      <c r="M141" t="s">
        <v>87</v>
      </c>
      <c r="N141" t="s">
        <v>32</v>
      </c>
      <c r="O141">
        <f>YEAR(Table1[[#This Row],[Order Date]])</f>
        <v>2025</v>
      </c>
      <c r="P141" t="str">
        <f>TEXT(Table1[[#This Row],[Order Date]],"mmmm")</f>
        <v>October</v>
      </c>
      <c r="Q141" t="str">
        <f>TEXT(Table1[[#This Row],[Order Date]],"mm")</f>
        <v>10</v>
      </c>
      <c r="R141" s="2">
        <f>Table1[[#This Row],[Profit]]/Table1[[#This Row],[Sales]]</f>
        <v>5.4070348296413689E-2</v>
      </c>
      <c r="S141" t="str">
        <f t="shared" si="2"/>
        <v>Low (1-10%)</v>
      </c>
    </row>
    <row r="142" spans="1:19" x14ac:dyDescent="0.2">
      <c r="A142" t="s">
        <v>461</v>
      </c>
      <c r="B142" s="3" t="s">
        <v>462</v>
      </c>
      <c r="C142" t="s">
        <v>141</v>
      </c>
      <c r="D142" t="s">
        <v>27</v>
      </c>
      <c r="E142" t="s">
        <v>43</v>
      </c>
      <c r="F142" t="s">
        <v>55</v>
      </c>
      <c r="G142" t="s">
        <v>74</v>
      </c>
      <c r="H142" t="s">
        <v>75</v>
      </c>
      <c r="I142" s="4">
        <v>1835.2</v>
      </c>
      <c r="J142">
        <v>4</v>
      </c>
      <c r="K142" s="2">
        <v>0</v>
      </c>
      <c r="L142" s="4">
        <v>619.04</v>
      </c>
      <c r="M142" t="s">
        <v>107</v>
      </c>
      <c r="N142" t="s">
        <v>32</v>
      </c>
      <c r="O142">
        <f>YEAR(Table1[[#This Row],[Order Date]])</f>
        <v>2024</v>
      </c>
      <c r="P142" t="str">
        <f>TEXT(Table1[[#This Row],[Order Date]],"mmmm")</f>
        <v>December</v>
      </c>
      <c r="Q142" t="str">
        <f>TEXT(Table1[[#This Row],[Order Date]],"mm")</f>
        <v>12</v>
      </c>
      <c r="R142" s="2">
        <f>Table1[[#This Row],[Profit]]/Table1[[#This Row],[Sales]]</f>
        <v>0.33731473408892759</v>
      </c>
      <c r="S142" t="str">
        <f t="shared" si="2"/>
        <v>No Discount</v>
      </c>
    </row>
    <row r="143" spans="1:19" x14ac:dyDescent="0.2">
      <c r="A143" t="s">
        <v>463</v>
      </c>
      <c r="B143" s="3" t="s">
        <v>299</v>
      </c>
      <c r="C143" t="s">
        <v>464</v>
      </c>
      <c r="D143" t="s">
        <v>137</v>
      </c>
      <c r="E143" t="s">
        <v>242</v>
      </c>
      <c r="F143" t="s">
        <v>55</v>
      </c>
      <c r="G143" t="s">
        <v>56</v>
      </c>
      <c r="H143" t="s">
        <v>62</v>
      </c>
      <c r="I143" s="4">
        <v>1715.06</v>
      </c>
      <c r="J143">
        <v>2</v>
      </c>
      <c r="K143" s="2">
        <v>0.1</v>
      </c>
      <c r="L143" s="4">
        <v>-80.569999999999993</v>
      </c>
      <c r="M143" t="s">
        <v>63</v>
      </c>
      <c r="N143" t="s">
        <v>39</v>
      </c>
      <c r="O143">
        <f>YEAR(Table1[[#This Row],[Order Date]])</f>
        <v>2024</v>
      </c>
      <c r="P143" t="str">
        <f>TEXT(Table1[[#This Row],[Order Date]],"mmmm")</f>
        <v>April</v>
      </c>
      <c r="Q143" t="str">
        <f>TEXT(Table1[[#This Row],[Order Date]],"mm")</f>
        <v>04</v>
      </c>
      <c r="R143" s="2">
        <f>Table1[[#This Row],[Profit]]/Table1[[#This Row],[Sales]]</f>
        <v>-4.6977948293354166E-2</v>
      </c>
      <c r="S143" t="str">
        <f t="shared" si="2"/>
        <v>Low (1-10%)</v>
      </c>
    </row>
    <row r="144" spans="1:19" x14ac:dyDescent="0.2">
      <c r="A144" t="s">
        <v>465</v>
      </c>
      <c r="B144" s="3" t="s">
        <v>310</v>
      </c>
      <c r="C144" t="s">
        <v>450</v>
      </c>
      <c r="D144" t="s">
        <v>137</v>
      </c>
      <c r="E144" t="s">
        <v>138</v>
      </c>
      <c r="F144" t="s">
        <v>55</v>
      </c>
      <c r="G144" t="s">
        <v>56</v>
      </c>
      <c r="H144" t="s">
        <v>129</v>
      </c>
      <c r="I144" s="4">
        <v>1575.3</v>
      </c>
      <c r="J144">
        <v>5</v>
      </c>
      <c r="K144" s="2">
        <v>0.2</v>
      </c>
      <c r="L144" s="4">
        <v>-82.11</v>
      </c>
      <c r="M144" t="s">
        <v>38</v>
      </c>
      <c r="N144" t="s">
        <v>76</v>
      </c>
      <c r="O144">
        <f>YEAR(Table1[[#This Row],[Order Date]])</f>
        <v>2025</v>
      </c>
      <c r="P144" t="str">
        <f>TEXT(Table1[[#This Row],[Order Date]],"mmmm")</f>
        <v>September</v>
      </c>
      <c r="Q144" t="str">
        <f>TEXT(Table1[[#This Row],[Order Date]],"mm")</f>
        <v>09</v>
      </c>
      <c r="R144" s="2">
        <f>Table1[[#This Row],[Profit]]/Table1[[#This Row],[Sales]]</f>
        <v>-5.2123405065701775E-2</v>
      </c>
      <c r="S144" t="str">
        <f t="shared" si="2"/>
        <v>Medium (11-20%)</v>
      </c>
    </row>
    <row r="145" spans="1:19" x14ac:dyDescent="0.2">
      <c r="A145" t="s">
        <v>466</v>
      </c>
      <c r="B145" s="3" t="s">
        <v>467</v>
      </c>
      <c r="C145" t="s">
        <v>468</v>
      </c>
      <c r="D145" t="s">
        <v>17</v>
      </c>
      <c r="E145" t="s">
        <v>18</v>
      </c>
      <c r="F145" t="s">
        <v>55</v>
      </c>
      <c r="G145" t="s">
        <v>98</v>
      </c>
      <c r="H145" t="s">
        <v>154</v>
      </c>
      <c r="I145" s="4">
        <v>3372.48</v>
      </c>
      <c r="J145">
        <v>8</v>
      </c>
      <c r="K145" s="2">
        <v>0.1</v>
      </c>
      <c r="L145" s="4">
        <v>1170.46</v>
      </c>
      <c r="M145" t="s">
        <v>22</v>
      </c>
      <c r="N145" t="s">
        <v>32</v>
      </c>
      <c r="O145">
        <f>YEAR(Table1[[#This Row],[Order Date]])</f>
        <v>2024</v>
      </c>
      <c r="P145" t="str">
        <f>TEXT(Table1[[#This Row],[Order Date]],"mmmm")</f>
        <v>December</v>
      </c>
      <c r="Q145" t="str">
        <f>TEXT(Table1[[#This Row],[Order Date]],"mm")</f>
        <v>12</v>
      </c>
      <c r="R145" s="2">
        <f>Table1[[#This Row],[Profit]]/Table1[[#This Row],[Sales]]</f>
        <v>0.34706210266628712</v>
      </c>
      <c r="S145" t="str">
        <f t="shared" si="2"/>
        <v>Low (1-10%)</v>
      </c>
    </row>
    <row r="146" spans="1:19" x14ac:dyDescent="0.2">
      <c r="A146" t="s">
        <v>469</v>
      </c>
      <c r="B146" s="3" t="s">
        <v>470</v>
      </c>
      <c r="C146" t="s">
        <v>308</v>
      </c>
      <c r="D146" t="s">
        <v>17</v>
      </c>
      <c r="E146" t="s">
        <v>54</v>
      </c>
      <c r="F146" t="s">
        <v>55</v>
      </c>
      <c r="G146" t="s">
        <v>56</v>
      </c>
      <c r="H146" t="s">
        <v>129</v>
      </c>
      <c r="I146" s="4">
        <v>333.53</v>
      </c>
      <c r="J146">
        <v>1</v>
      </c>
      <c r="K146" s="2">
        <v>0</v>
      </c>
      <c r="L146" s="4">
        <v>32.479999999999997</v>
      </c>
      <c r="M146" t="s">
        <v>22</v>
      </c>
      <c r="N146" t="s">
        <v>23</v>
      </c>
      <c r="O146">
        <f>YEAR(Table1[[#This Row],[Order Date]])</f>
        <v>2024</v>
      </c>
      <c r="P146" t="str">
        <f>TEXT(Table1[[#This Row],[Order Date]],"mmmm")</f>
        <v>July</v>
      </c>
      <c r="Q146" t="str">
        <f>TEXT(Table1[[#This Row],[Order Date]],"mm")</f>
        <v>07</v>
      </c>
      <c r="R146" s="2">
        <f>Table1[[#This Row],[Profit]]/Table1[[#This Row],[Sales]]</f>
        <v>9.7382544298863671E-2</v>
      </c>
      <c r="S146" t="str">
        <f t="shared" si="2"/>
        <v>No Discount</v>
      </c>
    </row>
    <row r="147" spans="1:19" x14ac:dyDescent="0.2">
      <c r="A147" t="s">
        <v>471</v>
      </c>
      <c r="B147" s="3" t="s">
        <v>472</v>
      </c>
      <c r="C147" t="s">
        <v>473</v>
      </c>
      <c r="D147" t="s">
        <v>137</v>
      </c>
      <c r="E147" t="s">
        <v>138</v>
      </c>
      <c r="F147" t="s">
        <v>67</v>
      </c>
      <c r="G147" t="s">
        <v>115</v>
      </c>
      <c r="H147" t="s">
        <v>212</v>
      </c>
      <c r="I147" s="4">
        <v>1596.92</v>
      </c>
      <c r="J147">
        <v>4</v>
      </c>
      <c r="K147" s="2">
        <v>0</v>
      </c>
      <c r="L147" s="4">
        <v>702.25</v>
      </c>
      <c r="M147" t="s">
        <v>22</v>
      </c>
      <c r="N147" t="s">
        <v>39</v>
      </c>
      <c r="O147">
        <f>YEAR(Table1[[#This Row],[Order Date]])</f>
        <v>2025</v>
      </c>
      <c r="P147" t="str">
        <f>TEXT(Table1[[#This Row],[Order Date]],"mmmm")</f>
        <v>August</v>
      </c>
      <c r="Q147" t="str">
        <f>TEXT(Table1[[#This Row],[Order Date]],"mm")</f>
        <v>08</v>
      </c>
      <c r="R147" s="2">
        <f>Table1[[#This Row],[Profit]]/Table1[[#This Row],[Sales]]</f>
        <v>0.43975277409012348</v>
      </c>
      <c r="S147" t="str">
        <f t="shared" si="2"/>
        <v>No Discount</v>
      </c>
    </row>
    <row r="148" spans="1:19" x14ac:dyDescent="0.2">
      <c r="A148" t="s">
        <v>474</v>
      </c>
      <c r="B148" s="3" t="s">
        <v>475</v>
      </c>
      <c r="C148" t="s">
        <v>292</v>
      </c>
      <c r="D148" t="s">
        <v>137</v>
      </c>
      <c r="E148" t="s">
        <v>160</v>
      </c>
      <c r="F148" t="s">
        <v>67</v>
      </c>
      <c r="G148" t="s">
        <v>68</v>
      </c>
      <c r="H148" t="s">
        <v>382</v>
      </c>
      <c r="I148" s="4">
        <v>2489.64</v>
      </c>
      <c r="J148">
        <v>4</v>
      </c>
      <c r="K148" s="2">
        <v>0.2</v>
      </c>
      <c r="L148" s="4">
        <v>-81.53</v>
      </c>
      <c r="M148" t="s">
        <v>38</v>
      </c>
      <c r="N148" t="s">
        <v>32</v>
      </c>
      <c r="O148">
        <f>YEAR(Table1[[#This Row],[Order Date]])</f>
        <v>2024</v>
      </c>
      <c r="P148" t="str">
        <f>TEXT(Table1[[#This Row],[Order Date]],"mmmm")</f>
        <v>February</v>
      </c>
      <c r="Q148" t="str">
        <f>TEXT(Table1[[#This Row],[Order Date]],"mm")</f>
        <v>02</v>
      </c>
      <c r="R148" s="2">
        <f>Table1[[#This Row],[Profit]]/Table1[[#This Row],[Sales]]</f>
        <v>-3.274770649571826E-2</v>
      </c>
      <c r="S148" t="str">
        <f t="shared" si="2"/>
        <v>Medium (11-20%)</v>
      </c>
    </row>
    <row r="149" spans="1:19" x14ac:dyDescent="0.2">
      <c r="A149" t="s">
        <v>476</v>
      </c>
      <c r="B149" s="3" t="s">
        <v>477</v>
      </c>
      <c r="C149" t="s">
        <v>311</v>
      </c>
      <c r="D149" t="s">
        <v>27</v>
      </c>
      <c r="E149" t="s">
        <v>124</v>
      </c>
      <c r="F149" t="s">
        <v>67</v>
      </c>
      <c r="G149" t="s">
        <v>68</v>
      </c>
      <c r="H149" t="s">
        <v>103</v>
      </c>
      <c r="I149" s="4">
        <v>2902.6</v>
      </c>
      <c r="J149">
        <v>5</v>
      </c>
      <c r="K149" s="2">
        <v>0.2</v>
      </c>
      <c r="L149" s="4">
        <v>260.75</v>
      </c>
      <c r="M149" t="s">
        <v>117</v>
      </c>
      <c r="N149" t="s">
        <v>39</v>
      </c>
      <c r="O149">
        <f>YEAR(Table1[[#This Row],[Order Date]])</f>
        <v>2024</v>
      </c>
      <c r="P149" t="str">
        <f>TEXT(Table1[[#This Row],[Order Date]],"mmmm")</f>
        <v>December</v>
      </c>
      <c r="Q149" t="str">
        <f>TEXT(Table1[[#This Row],[Order Date]],"mm")</f>
        <v>12</v>
      </c>
      <c r="R149" s="2">
        <f>Table1[[#This Row],[Profit]]/Table1[[#This Row],[Sales]]</f>
        <v>8.9833252945634948E-2</v>
      </c>
      <c r="S149" t="str">
        <f t="shared" si="2"/>
        <v>Medium (11-20%)</v>
      </c>
    </row>
    <row r="150" spans="1:19" x14ac:dyDescent="0.2">
      <c r="A150" t="s">
        <v>478</v>
      </c>
      <c r="B150" s="3" t="s">
        <v>479</v>
      </c>
      <c r="C150" t="s">
        <v>480</v>
      </c>
      <c r="D150" t="s">
        <v>27</v>
      </c>
      <c r="E150" t="s">
        <v>61</v>
      </c>
      <c r="F150" t="s">
        <v>67</v>
      </c>
      <c r="G150" t="s">
        <v>85</v>
      </c>
      <c r="H150" t="s">
        <v>86</v>
      </c>
      <c r="I150" s="4">
        <v>3480.18</v>
      </c>
      <c r="J150">
        <v>6</v>
      </c>
      <c r="K150" s="2">
        <v>0.3</v>
      </c>
      <c r="L150" s="4">
        <v>-254.39</v>
      </c>
      <c r="M150" t="s">
        <v>117</v>
      </c>
      <c r="N150" t="s">
        <v>76</v>
      </c>
      <c r="O150">
        <f>YEAR(Table1[[#This Row],[Order Date]])</f>
        <v>2024</v>
      </c>
      <c r="P150" t="str">
        <f>TEXT(Table1[[#This Row],[Order Date]],"mmmm")</f>
        <v>February</v>
      </c>
      <c r="Q150" t="str">
        <f>TEXT(Table1[[#This Row],[Order Date]],"mm")</f>
        <v>02</v>
      </c>
      <c r="R150" s="2">
        <f>Table1[[#This Row],[Profit]]/Table1[[#This Row],[Sales]]</f>
        <v>-7.3096793843996574E-2</v>
      </c>
      <c r="S150" t="str">
        <f t="shared" si="2"/>
        <v>High (21-30%)</v>
      </c>
    </row>
    <row r="151" spans="1:19" x14ac:dyDescent="0.2">
      <c r="A151" t="s">
        <v>481</v>
      </c>
      <c r="B151" s="3" t="s">
        <v>482</v>
      </c>
      <c r="C151" t="s">
        <v>194</v>
      </c>
      <c r="D151" t="s">
        <v>137</v>
      </c>
      <c r="E151" t="s">
        <v>160</v>
      </c>
      <c r="F151" t="s">
        <v>67</v>
      </c>
      <c r="G151" t="s">
        <v>115</v>
      </c>
      <c r="H151" t="s">
        <v>178</v>
      </c>
      <c r="I151" s="4">
        <v>156</v>
      </c>
      <c r="J151">
        <v>10</v>
      </c>
      <c r="K151" s="2">
        <v>0.3</v>
      </c>
      <c r="L151" s="4">
        <v>10.88</v>
      </c>
      <c r="M151" t="s">
        <v>63</v>
      </c>
      <c r="N151" t="s">
        <v>39</v>
      </c>
      <c r="O151">
        <f>YEAR(Table1[[#This Row],[Order Date]])</f>
        <v>2024</v>
      </c>
      <c r="P151" t="str">
        <f>TEXT(Table1[[#This Row],[Order Date]],"mmmm")</f>
        <v>August</v>
      </c>
      <c r="Q151" t="str">
        <f>TEXT(Table1[[#This Row],[Order Date]],"mm")</f>
        <v>08</v>
      </c>
      <c r="R151" s="2">
        <f>Table1[[#This Row],[Profit]]/Table1[[#This Row],[Sales]]</f>
        <v>6.9743589743589754E-2</v>
      </c>
      <c r="S151" t="str">
        <f t="shared" si="2"/>
        <v>High (21-30%)</v>
      </c>
    </row>
    <row r="152" spans="1:19" x14ac:dyDescent="0.2">
      <c r="A152" t="s">
        <v>483</v>
      </c>
      <c r="B152" s="3" t="s">
        <v>484</v>
      </c>
      <c r="C152" t="s">
        <v>418</v>
      </c>
      <c r="D152" t="s">
        <v>137</v>
      </c>
      <c r="E152" t="s">
        <v>160</v>
      </c>
      <c r="F152" t="s">
        <v>67</v>
      </c>
      <c r="G152" t="s">
        <v>85</v>
      </c>
      <c r="H152" t="s">
        <v>253</v>
      </c>
      <c r="I152" s="4">
        <v>1035.04</v>
      </c>
      <c r="J152">
        <v>8</v>
      </c>
      <c r="K152" s="2">
        <v>0.2</v>
      </c>
      <c r="L152" s="4">
        <v>86.22</v>
      </c>
      <c r="M152" t="s">
        <v>31</v>
      </c>
      <c r="N152" t="s">
        <v>23</v>
      </c>
      <c r="O152">
        <f>YEAR(Table1[[#This Row],[Order Date]])</f>
        <v>2024</v>
      </c>
      <c r="P152" t="str">
        <f>TEXT(Table1[[#This Row],[Order Date]],"mmmm")</f>
        <v>March</v>
      </c>
      <c r="Q152" t="str">
        <f>TEXT(Table1[[#This Row],[Order Date]],"mm")</f>
        <v>03</v>
      </c>
      <c r="R152" s="2">
        <f>Table1[[#This Row],[Profit]]/Table1[[#This Row],[Sales]]</f>
        <v>8.3301128458803525E-2</v>
      </c>
      <c r="S152" t="str">
        <f t="shared" si="2"/>
        <v>Medium (11-20%)</v>
      </c>
    </row>
    <row r="153" spans="1:19" x14ac:dyDescent="0.2">
      <c r="A153" t="s">
        <v>485</v>
      </c>
      <c r="B153" s="3" t="s">
        <v>486</v>
      </c>
      <c r="C153" t="s">
        <v>395</v>
      </c>
      <c r="D153" t="s">
        <v>137</v>
      </c>
      <c r="E153" t="s">
        <v>160</v>
      </c>
      <c r="F153" t="s">
        <v>67</v>
      </c>
      <c r="G153" t="s">
        <v>85</v>
      </c>
      <c r="H153" t="s">
        <v>86</v>
      </c>
      <c r="I153" s="4">
        <v>9928.35</v>
      </c>
      <c r="J153">
        <v>9</v>
      </c>
      <c r="K153" s="2">
        <v>0</v>
      </c>
      <c r="L153" s="4">
        <v>3932.76</v>
      </c>
      <c r="M153" t="s">
        <v>107</v>
      </c>
      <c r="N153" t="s">
        <v>76</v>
      </c>
      <c r="O153">
        <f>YEAR(Table1[[#This Row],[Order Date]])</f>
        <v>2025</v>
      </c>
      <c r="P153" t="str">
        <f>TEXT(Table1[[#This Row],[Order Date]],"mmmm")</f>
        <v>September</v>
      </c>
      <c r="Q153" t="str">
        <f>TEXT(Table1[[#This Row],[Order Date]],"mm")</f>
        <v>09</v>
      </c>
      <c r="R153" s="2">
        <f>Table1[[#This Row],[Profit]]/Table1[[#This Row],[Sales]]</f>
        <v>0.39611415794165195</v>
      </c>
      <c r="S153" t="str">
        <f t="shared" si="2"/>
        <v>No Discount</v>
      </c>
    </row>
    <row r="154" spans="1:19" x14ac:dyDescent="0.2">
      <c r="A154" t="s">
        <v>487</v>
      </c>
      <c r="B154" s="3" t="s">
        <v>488</v>
      </c>
      <c r="C154" t="s">
        <v>192</v>
      </c>
      <c r="D154" t="s">
        <v>17</v>
      </c>
      <c r="E154" t="s">
        <v>18</v>
      </c>
      <c r="F154" t="s">
        <v>55</v>
      </c>
      <c r="G154" t="s">
        <v>98</v>
      </c>
      <c r="H154" t="s">
        <v>99</v>
      </c>
      <c r="I154" s="4">
        <v>1606.99</v>
      </c>
      <c r="J154">
        <v>7</v>
      </c>
      <c r="K154" s="2">
        <v>0</v>
      </c>
      <c r="L154" s="4">
        <v>693.4</v>
      </c>
      <c r="M154" t="s">
        <v>63</v>
      </c>
      <c r="N154" t="s">
        <v>39</v>
      </c>
      <c r="O154">
        <f>YEAR(Table1[[#This Row],[Order Date]])</f>
        <v>2025</v>
      </c>
      <c r="P154" t="str">
        <f>TEXT(Table1[[#This Row],[Order Date]],"mmmm")</f>
        <v>June</v>
      </c>
      <c r="Q154" t="str">
        <f>TEXT(Table1[[#This Row],[Order Date]],"mm")</f>
        <v>06</v>
      </c>
      <c r="R154" s="2">
        <f>Table1[[#This Row],[Profit]]/Table1[[#This Row],[Sales]]</f>
        <v>0.43148992837540989</v>
      </c>
      <c r="S154" t="str">
        <f t="shared" si="2"/>
        <v>No Discount</v>
      </c>
    </row>
    <row r="155" spans="1:19" x14ac:dyDescent="0.2">
      <c r="A155" t="s">
        <v>489</v>
      </c>
      <c r="B155" s="3" t="s">
        <v>472</v>
      </c>
      <c r="C155" t="s">
        <v>183</v>
      </c>
      <c r="D155" t="s">
        <v>17</v>
      </c>
      <c r="E155" t="s">
        <v>97</v>
      </c>
      <c r="F155" t="s">
        <v>19</v>
      </c>
      <c r="G155" t="s">
        <v>29</v>
      </c>
      <c r="H155" t="s">
        <v>199</v>
      </c>
      <c r="I155" s="4">
        <v>887.48</v>
      </c>
      <c r="J155">
        <v>2</v>
      </c>
      <c r="K155" s="2">
        <v>0.05</v>
      </c>
      <c r="L155" s="4">
        <v>219.49</v>
      </c>
      <c r="M155" t="s">
        <v>143</v>
      </c>
      <c r="N155" t="s">
        <v>76</v>
      </c>
      <c r="O155">
        <f>YEAR(Table1[[#This Row],[Order Date]])</f>
        <v>2025</v>
      </c>
      <c r="P155" t="str">
        <f>TEXT(Table1[[#This Row],[Order Date]],"mmmm")</f>
        <v>August</v>
      </c>
      <c r="Q155" t="str">
        <f>TEXT(Table1[[#This Row],[Order Date]],"mm")</f>
        <v>08</v>
      </c>
      <c r="R155" s="2">
        <f>Table1[[#This Row],[Profit]]/Table1[[#This Row],[Sales]]</f>
        <v>0.24731824942533917</v>
      </c>
      <c r="S155" t="str">
        <f t="shared" si="2"/>
        <v>Low (1-10%)</v>
      </c>
    </row>
    <row r="156" spans="1:19" x14ac:dyDescent="0.2">
      <c r="A156" t="s">
        <v>490</v>
      </c>
      <c r="B156" s="3" t="s">
        <v>210</v>
      </c>
      <c r="C156" t="s">
        <v>491</v>
      </c>
      <c r="D156" t="s">
        <v>27</v>
      </c>
      <c r="E156" t="s">
        <v>28</v>
      </c>
      <c r="F156" t="s">
        <v>67</v>
      </c>
      <c r="G156" t="s">
        <v>85</v>
      </c>
      <c r="H156" t="s">
        <v>125</v>
      </c>
      <c r="I156" s="4">
        <v>11943.3</v>
      </c>
      <c r="J156">
        <v>10</v>
      </c>
      <c r="K156" s="2">
        <v>0.15</v>
      </c>
      <c r="L156" s="4">
        <v>3101.36</v>
      </c>
      <c r="M156" t="s">
        <v>143</v>
      </c>
      <c r="N156" t="s">
        <v>32</v>
      </c>
      <c r="O156">
        <f>YEAR(Table1[[#This Row],[Order Date]])</f>
        <v>2024</v>
      </c>
      <c r="P156" t="str">
        <f>TEXT(Table1[[#This Row],[Order Date]],"mmmm")</f>
        <v>March</v>
      </c>
      <c r="Q156" t="str">
        <f>TEXT(Table1[[#This Row],[Order Date]],"mm")</f>
        <v>03</v>
      </c>
      <c r="R156" s="2">
        <f>Table1[[#This Row],[Profit]]/Table1[[#This Row],[Sales]]</f>
        <v>0.2596736245426306</v>
      </c>
      <c r="S156" t="str">
        <f t="shared" si="2"/>
        <v>Medium (11-20%)</v>
      </c>
    </row>
    <row r="157" spans="1:19" x14ac:dyDescent="0.2">
      <c r="A157" t="s">
        <v>492</v>
      </c>
      <c r="B157" s="3" t="s">
        <v>493</v>
      </c>
      <c r="C157" t="s">
        <v>343</v>
      </c>
      <c r="D157" t="s">
        <v>137</v>
      </c>
      <c r="E157" t="s">
        <v>242</v>
      </c>
      <c r="F157" t="s">
        <v>19</v>
      </c>
      <c r="G157" t="s">
        <v>20</v>
      </c>
      <c r="H157" t="s">
        <v>239</v>
      </c>
      <c r="I157" s="4">
        <v>2836.64</v>
      </c>
      <c r="J157">
        <v>4</v>
      </c>
      <c r="K157" s="2">
        <v>0.15</v>
      </c>
      <c r="L157" s="4">
        <v>659.63</v>
      </c>
      <c r="M157" t="s">
        <v>87</v>
      </c>
      <c r="N157" t="s">
        <v>39</v>
      </c>
      <c r="O157">
        <f>YEAR(Table1[[#This Row],[Order Date]])</f>
        <v>2025</v>
      </c>
      <c r="P157" t="str">
        <f>TEXT(Table1[[#This Row],[Order Date]],"mmmm")</f>
        <v>May</v>
      </c>
      <c r="Q157" t="str">
        <f>TEXT(Table1[[#This Row],[Order Date]],"mm")</f>
        <v>05</v>
      </c>
      <c r="R157" s="2">
        <f>Table1[[#This Row],[Profit]]/Table1[[#This Row],[Sales]]</f>
        <v>0.23253920130859046</v>
      </c>
      <c r="S157" t="str">
        <f t="shared" si="2"/>
        <v>Medium (11-20%)</v>
      </c>
    </row>
    <row r="158" spans="1:19" x14ac:dyDescent="0.2">
      <c r="A158" t="s">
        <v>494</v>
      </c>
      <c r="B158" s="3" t="s">
        <v>495</v>
      </c>
      <c r="C158" t="s">
        <v>35</v>
      </c>
      <c r="D158" t="s">
        <v>27</v>
      </c>
      <c r="E158" t="s">
        <v>61</v>
      </c>
      <c r="F158" t="s">
        <v>19</v>
      </c>
      <c r="G158" t="s">
        <v>36</v>
      </c>
      <c r="H158" t="s">
        <v>37</v>
      </c>
      <c r="I158" s="4">
        <v>2362.5</v>
      </c>
      <c r="J158">
        <v>2</v>
      </c>
      <c r="K158" s="2">
        <v>0.25</v>
      </c>
      <c r="L158" s="4">
        <v>453.05</v>
      </c>
      <c r="M158" t="s">
        <v>87</v>
      </c>
      <c r="N158" t="s">
        <v>76</v>
      </c>
      <c r="O158">
        <f>YEAR(Table1[[#This Row],[Order Date]])</f>
        <v>2024</v>
      </c>
      <c r="P158" t="str">
        <f>TEXT(Table1[[#This Row],[Order Date]],"mmmm")</f>
        <v>November</v>
      </c>
      <c r="Q158" t="str">
        <f>TEXT(Table1[[#This Row],[Order Date]],"mm")</f>
        <v>11</v>
      </c>
      <c r="R158" s="2">
        <f>Table1[[#This Row],[Profit]]/Table1[[#This Row],[Sales]]</f>
        <v>0.19176719576719578</v>
      </c>
      <c r="S158" t="str">
        <f t="shared" si="2"/>
        <v>High (21-30%)</v>
      </c>
    </row>
    <row r="159" spans="1:19" x14ac:dyDescent="0.2">
      <c r="A159" t="s">
        <v>496</v>
      </c>
      <c r="B159" s="3" t="s">
        <v>497</v>
      </c>
      <c r="C159" t="s">
        <v>498</v>
      </c>
      <c r="D159" t="s">
        <v>27</v>
      </c>
      <c r="E159" t="s">
        <v>43</v>
      </c>
      <c r="F159" t="s">
        <v>67</v>
      </c>
      <c r="G159" t="s">
        <v>68</v>
      </c>
      <c r="H159" t="s">
        <v>103</v>
      </c>
      <c r="I159" s="4">
        <v>6022.66</v>
      </c>
      <c r="J159">
        <v>7</v>
      </c>
      <c r="K159" s="2">
        <v>0</v>
      </c>
      <c r="L159" s="4">
        <v>1913.54</v>
      </c>
      <c r="M159" t="s">
        <v>38</v>
      </c>
      <c r="N159" t="s">
        <v>23</v>
      </c>
      <c r="O159">
        <f>YEAR(Table1[[#This Row],[Order Date]])</f>
        <v>2025</v>
      </c>
      <c r="P159" t="str">
        <f>TEXT(Table1[[#This Row],[Order Date]],"mmmm")</f>
        <v>December</v>
      </c>
      <c r="Q159" t="str">
        <f>TEXT(Table1[[#This Row],[Order Date]],"mm")</f>
        <v>12</v>
      </c>
      <c r="R159" s="2">
        <f>Table1[[#This Row],[Profit]]/Table1[[#This Row],[Sales]]</f>
        <v>0.31772339796701127</v>
      </c>
      <c r="S159" t="str">
        <f t="shared" si="2"/>
        <v>No Discount</v>
      </c>
    </row>
    <row r="160" spans="1:19" x14ac:dyDescent="0.2">
      <c r="A160" t="s">
        <v>499</v>
      </c>
      <c r="B160" s="3" t="s">
        <v>500</v>
      </c>
      <c r="C160" t="s">
        <v>501</v>
      </c>
      <c r="D160" t="s">
        <v>27</v>
      </c>
      <c r="E160" t="s">
        <v>43</v>
      </c>
      <c r="F160" t="s">
        <v>55</v>
      </c>
      <c r="G160" t="s">
        <v>74</v>
      </c>
      <c r="H160" t="s">
        <v>133</v>
      </c>
      <c r="I160" s="4">
        <v>47.06</v>
      </c>
      <c r="J160">
        <v>1</v>
      </c>
      <c r="K160" s="2">
        <v>0.1</v>
      </c>
      <c r="L160" s="4">
        <v>8.56</v>
      </c>
      <c r="M160" t="s">
        <v>143</v>
      </c>
      <c r="N160" t="s">
        <v>23</v>
      </c>
      <c r="O160">
        <f>YEAR(Table1[[#This Row],[Order Date]])</f>
        <v>2024</v>
      </c>
      <c r="P160" t="str">
        <f>TEXT(Table1[[#This Row],[Order Date]],"mmmm")</f>
        <v>April</v>
      </c>
      <c r="Q160" t="str">
        <f>TEXT(Table1[[#This Row],[Order Date]],"mm")</f>
        <v>04</v>
      </c>
      <c r="R160" s="2">
        <f>Table1[[#This Row],[Profit]]/Table1[[#This Row],[Sales]]</f>
        <v>0.18189545261368467</v>
      </c>
      <c r="S160" t="str">
        <f t="shared" si="2"/>
        <v>Low (1-10%)</v>
      </c>
    </row>
    <row r="161" spans="1:19" x14ac:dyDescent="0.2">
      <c r="A161" t="s">
        <v>502</v>
      </c>
      <c r="B161" s="3" t="s">
        <v>503</v>
      </c>
      <c r="C161" t="s">
        <v>504</v>
      </c>
      <c r="D161" t="s">
        <v>27</v>
      </c>
      <c r="E161" t="s">
        <v>43</v>
      </c>
      <c r="F161" t="s">
        <v>19</v>
      </c>
      <c r="G161" t="s">
        <v>29</v>
      </c>
      <c r="H161" t="s">
        <v>199</v>
      </c>
      <c r="I161" s="4">
        <v>1635.8</v>
      </c>
      <c r="J161">
        <v>4</v>
      </c>
      <c r="K161" s="2">
        <v>0.05</v>
      </c>
      <c r="L161" s="4">
        <v>105.83</v>
      </c>
      <c r="M161" t="s">
        <v>22</v>
      </c>
      <c r="N161" t="s">
        <v>32</v>
      </c>
      <c r="O161">
        <f>YEAR(Table1[[#This Row],[Order Date]])</f>
        <v>2025</v>
      </c>
      <c r="P161" t="str">
        <f>TEXT(Table1[[#This Row],[Order Date]],"mmmm")</f>
        <v>January</v>
      </c>
      <c r="Q161" t="str">
        <f>TEXT(Table1[[#This Row],[Order Date]],"mm")</f>
        <v>01</v>
      </c>
      <c r="R161" s="2">
        <f>Table1[[#This Row],[Profit]]/Table1[[#This Row],[Sales]]</f>
        <v>6.4696173126299064E-2</v>
      </c>
      <c r="S161" t="str">
        <f t="shared" si="2"/>
        <v>Low (1-10%)</v>
      </c>
    </row>
    <row r="162" spans="1:19" x14ac:dyDescent="0.2">
      <c r="A162" t="s">
        <v>505</v>
      </c>
      <c r="B162" s="3" t="s">
        <v>506</v>
      </c>
      <c r="C162" t="s">
        <v>442</v>
      </c>
      <c r="D162" t="s">
        <v>48</v>
      </c>
      <c r="E162" t="s">
        <v>84</v>
      </c>
      <c r="F162" t="s">
        <v>67</v>
      </c>
      <c r="G162" t="s">
        <v>85</v>
      </c>
      <c r="H162" t="s">
        <v>125</v>
      </c>
      <c r="I162" s="4">
        <v>7148.61</v>
      </c>
      <c r="J162">
        <v>9</v>
      </c>
      <c r="K162" s="2">
        <v>0.1</v>
      </c>
      <c r="L162" s="4">
        <v>1277.8</v>
      </c>
      <c r="M162" t="s">
        <v>117</v>
      </c>
      <c r="N162" t="s">
        <v>76</v>
      </c>
      <c r="O162">
        <f>YEAR(Table1[[#This Row],[Order Date]])</f>
        <v>2024</v>
      </c>
      <c r="P162" t="str">
        <f>TEXT(Table1[[#This Row],[Order Date]],"mmmm")</f>
        <v>March</v>
      </c>
      <c r="Q162" t="str">
        <f>TEXT(Table1[[#This Row],[Order Date]],"mm")</f>
        <v>03</v>
      </c>
      <c r="R162" s="2">
        <f>Table1[[#This Row],[Profit]]/Table1[[#This Row],[Sales]]</f>
        <v>0.17874803633153857</v>
      </c>
      <c r="S162" t="str">
        <f t="shared" si="2"/>
        <v>Low (1-10%)</v>
      </c>
    </row>
    <row r="163" spans="1:19" x14ac:dyDescent="0.2">
      <c r="A163" t="s">
        <v>507</v>
      </c>
      <c r="B163" s="3" t="s">
        <v>508</v>
      </c>
      <c r="C163" t="s">
        <v>442</v>
      </c>
      <c r="D163" t="s">
        <v>137</v>
      </c>
      <c r="E163" t="s">
        <v>142</v>
      </c>
      <c r="F163" t="s">
        <v>19</v>
      </c>
      <c r="G163" t="s">
        <v>36</v>
      </c>
      <c r="H163" t="s">
        <v>222</v>
      </c>
      <c r="I163" s="4">
        <v>3459.3</v>
      </c>
      <c r="J163">
        <v>10</v>
      </c>
      <c r="K163" s="2">
        <v>0.15</v>
      </c>
      <c r="L163" s="4">
        <v>-168.83</v>
      </c>
      <c r="M163" t="s">
        <v>195</v>
      </c>
      <c r="N163" t="s">
        <v>23</v>
      </c>
      <c r="O163">
        <f>YEAR(Table1[[#This Row],[Order Date]])</f>
        <v>2025</v>
      </c>
      <c r="P163" t="str">
        <f>TEXT(Table1[[#This Row],[Order Date]],"mmmm")</f>
        <v>January</v>
      </c>
      <c r="Q163" t="str">
        <f>TEXT(Table1[[#This Row],[Order Date]],"mm")</f>
        <v>01</v>
      </c>
      <c r="R163" s="2">
        <f>Table1[[#This Row],[Profit]]/Table1[[#This Row],[Sales]]</f>
        <v>-4.8804671465325355E-2</v>
      </c>
      <c r="S163" t="str">
        <f t="shared" si="2"/>
        <v>Medium (11-20%)</v>
      </c>
    </row>
    <row r="164" spans="1:19" x14ac:dyDescent="0.2">
      <c r="A164" t="s">
        <v>509</v>
      </c>
      <c r="B164" s="3" t="s">
        <v>510</v>
      </c>
      <c r="C164" t="s">
        <v>271</v>
      </c>
      <c r="D164" t="s">
        <v>137</v>
      </c>
      <c r="E164" t="s">
        <v>142</v>
      </c>
      <c r="F164" t="s">
        <v>19</v>
      </c>
      <c r="G164" t="s">
        <v>36</v>
      </c>
      <c r="H164" t="s">
        <v>37</v>
      </c>
      <c r="I164" s="4">
        <v>1569.72</v>
      </c>
      <c r="J164">
        <v>3</v>
      </c>
      <c r="K164" s="2">
        <v>0.05</v>
      </c>
      <c r="L164" s="4">
        <v>544.54</v>
      </c>
      <c r="M164" t="s">
        <v>87</v>
      </c>
      <c r="N164" t="s">
        <v>76</v>
      </c>
      <c r="O164">
        <f>YEAR(Table1[[#This Row],[Order Date]])</f>
        <v>2025</v>
      </c>
      <c r="P164" t="str">
        <f>TEXT(Table1[[#This Row],[Order Date]],"mmmm")</f>
        <v>June</v>
      </c>
      <c r="Q164" t="str">
        <f>TEXT(Table1[[#This Row],[Order Date]],"mm")</f>
        <v>06</v>
      </c>
      <c r="R164" s="2">
        <f>Table1[[#This Row],[Profit]]/Table1[[#This Row],[Sales]]</f>
        <v>0.34690263231659146</v>
      </c>
      <c r="S164" t="str">
        <f t="shared" si="2"/>
        <v>Low (1-10%)</v>
      </c>
    </row>
    <row r="165" spans="1:19" x14ac:dyDescent="0.2">
      <c r="A165" t="s">
        <v>511</v>
      </c>
      <c r="B165" s="3" t="s">
        <v>512</v>
      </c>
      <c r="C165" t="s">
        <v>175</v>
      </c>
      <c r="D165" t="s">
        <v>137</v>
      </c>
      <c r="E165" t="s">
        <v>242</v>
      </c>
      <c r="F165" t="s">
        <v>19</v>
      </c>
      <c r="G165" t="s">
        <v>36</v>
      </c>
      <c r="H165" t="s">
        <v>111</v>
      </c>
      <c r="I165" s="4">
        <v>2354.88</v>
      </c>
      <c r="J165">
        <v>4</v>
      </c>
      <c r="K165" s="2">
        <v>0.05</v>
      </c>
      <c r="L165" s="4">
        <v>28.57</v>
      </c>
      <c r="M165" t="s">
        <v>44</v>
      </c>
      <c r="N165" t="s">
        <v>76</v>
      </c>
      <c r="O165">
        <f>YEAR(Table1[[#This Row],[Order Date]])</f>
        <v>2024</v>
      </c>
      <c r="P165" t="str">
        <f>TEXT(Table1[[#This Row],[Order Date]],"mmmm")</f>
        <v>January</v>
      </c>
      <c r="Q165" t="str">
        <f>TEXT(Table1[[#This Row],[Order Date]],"mm")</f>
        <v>01</v>
      </c>
      <c r="R165" s="2">
        <f>Table1[[#This Row],[Profit]]/Table1[[#This Row],[Sales]]</f>
        <v>1.2132253023508628E-2</v>
      </c>
      <c r="S165" t="str">
        <f t="shared" si="2"/>
        <v>Low (1-10%)</v>
      </c>
    </row>
    <row r="166" spans="1:19" x14ac:dyDescent="0.2">
      <c r="A166" t="s">
        <v>513</v>
      </c>
      <c r="B166" s="3" t="s">
        <v>514</v>
      </c>
      <c r="C166" t="s">
        <v>343</v>
      </c>
      <c r="D166" t="s">
        <v>17</v>
      </c>
      <c r="E166" t="s">
        <v>80</v>
      </c>
      <c r="F166" t="s">
        <v>67</v>
      </c>
      <c r="G166" t="s">
        <v>85</v>
      </c>
      <c r="H166" t="s">
        <v>86</v>
      </c>
      <c r="I166" s="4">
        <v>6649.74</v>
      </c>
      <c r="J166">
        <v>6</v>
      </c>
      <c r="K166" s="2">
        <v>0</v>
      </c>
      <c r="L166" s="4">
        <v>1583.53</v>
      </c>
      <c r="M166" t="s">
        <v>107</v>
      </c>
      <c r="N166" t="s">
        <v>23</v>
      </c>
      <c r="O166">
        <f>YEAR(Table1[[#This Row],[Order Date]])</f>
        <v>2024</v>
      </c>
      <c r="P166" t="str">
        <f>TEXT(Table1[[#This Row],[Order Date]],"mmmm")</f>
        <v>July</v>
      </c>
      <c r="Q166" t="str">
        <f>TEXT(Table1[[#This Row],[Order Date]],"mm")</f>
        <v>07</v>
      </c>
      <c r="R166" s="2">
        <f>Table1[[#This Row],[Profit]]/Table1[[#This Row],[Sales]]</f>
        <v>0.23813412253712177</v>
      </c>
      <c r="S166" t="str">
        <f t="shared" si="2"/>
        <v>No Discount</v>
      </c>
    </row>
    <row r="167" spans="1:19" x14ac:dyDescent="0.2">
      <c r="A167" t="s">
        <v>515</v>
      </c>
      <c r="B167" s="3" t="s">
        <v>188</v>
      </c>
      <c r="C167" t="s">
        <v>516</v>
      </c>
      <c r="D167" t="s">
        <v>48</v>
      </c>
      <c r="E167" t="s">
        <v>110</v>
      </c>
      <c r="F167" t="s">
        <v>55</v>
      </c>
      <c r="G167" t="s">
        <v>74</v>
      </c>
      <c r="H167" t="s">
        <v>75</v>
      </c>
      <c r="I167" s="4">
        <v>5817.04</v>
      </c>
      <c r="J167">
        <v>8</v>
      </c>
      <c r="K167" s="2">
        <v>0.3</v>
      </c>
      <c r="L167" s="4">
        <v>-345.02</v>
      </c>
      <c r="M167" t="s">
        <v>22</v>
      </c>
      <c r="N167" t="s">
        <v>23</v>
      </c>
      <c r="O167">
        <f>YEAR(Table1[[#This Row],[Order Date]])</f>
        <v>2025</v>
      </c>
      <c r="P167" t="str">
        <f>TEXT(Table1[[#This Row],[Order Date]],"mmmm")</f>
        <v>June</v>
      </c>
      <c r="Q167" t="str">
        <f>TEXT(Table1[[#This Row],[Order Date]],"mm")</f>
        <v>06</v>
      </c>
      <c r="R167" s="2">
        <f>Table1[[#This Row],[Profit]]/Table1[[#This Row],[Sales]]</f>
        <v>-5.9311952470672363E-2</v>
      </c>
      <c r="S167" t="str">
        <f t="shared" si="2"/>
        <v>High (21-30%)</v>
      </c>
    </row>
    <row r="168" spans="1:19" x14ac:dyDescent="0.2">
      <c r="A168" t="s">
        <v>517</v>
      </c>
      <c r="B168" s="3" t="s">
        <v>518</v>
      </c>
      <c r="C168" t="s">
        <v>519</v>
      </c>
      <c r="D168" t="s">
        <v>137</v>
      </c>
      <c r="E168" t="s">
        <v>160</v>
      </c>
      <c r="F168" t="s">
        <v>67</v>
      </c>
      <c r="G168" t="s">
        <v>85</v>
      </c>
      <c r="H168" t="s">
        <v>125</v>
      </c>
      <c r="I168" s="4">
        <v>3937.05</v>
      </c>
      <c r="J168">
        <v>9</v>
      </c>
      <c r="K168" s="2">
        <v>0.15</v>
      </c>
      <c r="L168" s="4">
        <v>674.62</v>
      </c>
      <c r="M168" t="s">
        <v>31</v>
      </c>
      <c r="N168" t="s">
        <v>32</v>
      </c>
      <c r="O168">
        <f>YEAR(Table1[[#This Row],[Order Date]])</f>
        <v>2025</v>
      </c>
      <c r="P168" t="str">
        <f>TEXT(Table1[[#This Row],[Order Date]],"mmmm")</f>
        <v>January</v>
      </c>
      <c r="Q168" t="str">
        <f>TEXT(Table1[[#This Row],[Order Date]],"mm")</f>
        <v>01</v>
      </c>
      <c r="R168" s="2">
        <f>Table1[[#This Row],[Profit]]/Table1[[#This Row],[Sales]]</f>
        <v>0.17135164653738205</v>
      </c>
      <c r="S168" t="str">
        <f t="shared" si="2"/>
        <v>Medium (11-20%)</v>
      </c>
    </row>
    <row r="169" spans="1:19" x14ac:dyDescent="0.2">
      <c r="A169" t="s">
        <v>520</v>
      </c>
      <c r="B169" s="3" t="s">
        <v>521</v>
      </c>
      <c r="C169" t="s">
        <v>302</v>
      </c>
      <c r="D169" t="s">
        <v>17</v>
      </c>
      <c r="E169" t="s">
        <v>18</v>
      </c>
      <c r="F169" t="s">
        <v>67</v>
      </c>
      <c r="G169" t="s">
        <v>68</v>
      </c>
      <c r="H169" t="s">
        <v>103</v>
      </c>
      <c r="I169" s="4">
        <v>1089.8599999999999</v>
      </c>
      <c r="J169">
        <v>1</v>
      </c>
      <c r="K169" s="2">
        <v>0.1</v>
      </c>
      <c r="L169" s="4">
        <v>236.69</v>
      </c>
      <c r="M169" t="s">
        <v>31</v>
      </c>
      <c r="N169" t="s">
        <v>32</v>
      </c>
      <c r="O169">
        <f>YEAR(Table1[[#This Row],[Order Date]])</f>
        <v>2024</v>
      </c>
      <c r="P169" t="str">
        <f>TEXT(Table1[[#This Row],[Order Date]],"mmmm")</f>
        <v>March</v>
      </c>
      <c r="Q169" t="str">
        <f>TEXT(Table1[[#This Row],[Order Date]],"mm")</f>
        <v>03</v>
      </c>
      <c r="R169" s="2">
        <f>Table1[[#This Row],[Profit]]/Table1[[#This Row],[Sales]]</f>
        <v>0.21717468298680567</v>
      </c>
      <c r="S169" t="str">
        <f t="shared" si="2"/>
        <v>Low (1-10%)</v>
      </c>
    </row>
    <row r="170" spans="1:19" x14ac:dyDescent="0.2">
      <c r="A170" t="s">
        <v>522</v>
      </c>
      <c r="B170" s="3" t="s">
        <v>523</v>
      </c>
      <c r="C170" t="s">
        <v>281</v>
      </c>
      <c r="D170" t="s">
        <v>17</v>
      </c>
      <c r="E170" t="s">
        <v>18</v>
      </c>
      <c r="F170" t="s">
        <v>19</v>
      </c>
      <c r="G170" t="s">
        <v>36</v>
      </c>
      <c r="H170" t="s">
        <v>37</v>
      </c>
      <c r="I170" s="4">
        <v>1886.8</v>
      </c>
      <c r="J170">
        <v>5</v>
      </c>
      <c r="K170" s="2">
        <v>0</v>
      </c>
      <c r="L170" s="4">
        <v>614.41</v>
      </c>
      <c r="M170" t="s">
        <v>44</v>
      </c>
      <c r="N170" t="s">
        <v>76</v>
      </c>
      <c r="O170">
        <f>YEAR(Table1[[#This Row],[Order Date]])</f>
        <v>2025</v>
      </c>
      <c r="P170" t="str">
        <f>TEXT(Table1[[#This Row],[Order Date]],"mmmm")</f>
        <v>August</v>
      </c>
      <c r="Q170" t="str">
        <f>TEXT(Table1[[#This Row],[Order Date]],"mm")</f>
        <v>08</v>
      </c>
      <c r="R170" s="2">
        <f>Table1[[#This Row],[Profit]]/Table1[[#This Row],[Sales]]</f>
        <v>0.32563599745601018</v>
      </c>
      <c r="S170" t="str">
        <f t="shared" si="2"/>
        <v>No Discount</v>
      </c>
    </row>
    <row r="171" spans="1:19" x14ac:dyDescent="0.2">
      <c r="A171" t="s">
        <v>524</v>
      </c>
      <c r="B171" s="3" t="s">
        <v>525</v>
      </c>
      <c r="C171" t="s">
        <v>340</v>
      </c>
      <c r="D171" t="s">
        <v>17</v>
      </c>
      <c r="E171" t="s">
        <v>80</v>
      </c>
      <c r="F171" t="s">
        <v>55</v>
      </c>
      <c r="G171" t="s">
        <v>74</v>
      </c>
      <c r="H171" t="s">
        <v>75</v>
      </c>
      <c r="I171" s="4">
        <v>1496.16</v>
      </c>
      <c r="J171">
        <v>8</v>
      </c>
      <c r="K171" s="2">
        <v>0.2</v>
      </c>
      <c r="L171" s="4">
        <v>47.51</v>
      </c>
      <c r="M171" t="s">
        <v>44</v>
      </c>
      <c r="N171" t="s">
        <v>32</v>
      </c>
      <c r="O171">
        <f>YEAR(Table1[[#This Row],[Order Date]])</f>
        <v>2024</v>
      </c>
      <c r="P171" t="str">
        <f>TEXT(Table1[[#This Row],[Order Date]],"mmmm")</f>
        <v>October</v>
      </c>
      <c r="Q171" t="str">
        <f>TEXT(Table1[[#This Row],[Order Date]],"mm")</f>
        <v>10</v>
      </c>
      <c r="R171" s="2">
        <f>Table1[[#This Row],[Profit]]/Table1[[#This Row],[Sales]]</f>
        <v>3.1754625173778202E-2</v>
      </c>
      <c r="S171" t="str">
        <f t="shared" si="2"/>
        <v>Medium (11-20%)</v>
      </c>
    </row>
    <row r="172" spans="1:19" x14ac:dyDescent="0.2">
      <c r="A172" t="s">
        <v>526</v>
      </c>
      <c r="B172" s="3" t="s">
        <v>527</v>
      </c>
      <c r="C172" t="s">
        <v>252</v>
      </c>
      <c r="D172" t="s">
        <v>27</v>
      </c>
      <c r="E172" t="s">
        <v>28</v>
      </c>
      <c r="F172" t="s">
        <v>55</v>
      </c>
      <c r="G172" t="s">
        <v>98</v>
      </c>
      <c r="H172" t="s">
        <v>154</v>
      </c>
      <c r="I172" s="4">
        <v>1068.7</v>
      </c>
      <c r="J172">
        <v>2</v>
      </c>
      <c r="K172" s="2">
        <v>0.3</v>
      </c>
      <c r="L172" s="4">
        <v>-141.44999999999999</v>
      </c>
      <c r="M172" t="s">
        <v>38</v>
      </c>
      <c r="N172" t="s">
        <v>32</v>
      </c>
      <c r="O172">
        <f>YEAR(Table1[[#This Row],[Order Date]])</f>
        <v>2025</v>
      </c>
      <c r="P172" t="str">
        <f>TEXT(Table1[[#This Row],[Order Date]],"mmmm")</f>
        <v>May</v>
      </c>
      <c r="Q172" t="str">
        <f>TEXT(Table1[[#This Row],[Order Date]],"mm")</f>
        <v>05</v>
      </c>
      <c r="R172" s="2">
        <f>Table1[[#This Row],[Profit]]/Table1[[#This Row],[Sales]]</f>
        <v>-0.13235706933657712</v>
      </c>
      <c r="S172" t="str">
        <f t="shared" si="2"/>
        <v>High (21-30%)</v>
      </c>
    </row>
    <row r="173" spans="1:19" x14ac:dyDescent="0.2">
      <c r="A173" t="s">
        <v>528</v>
      </c>
      <c r="B173" s="3" t="s">
        <v>529</v>
      </c>
      <c r="C173" t="s">
        <v>530</v>
      </c>
      <c r="D173" t="s">
        <v>27</v>
      </c>
      <c r="E173" t="s">
        <v>28</v>
      </c>
      <c r="F173" t="s">
        <v>55</v>
      </c>
      <c r="G173" t="s">
        <v>56</v>
      </c>
      <c r="H173" t="s">
        <v>129</v>
      </c>
      <c r="I173" s="4">
        <v>9736.4699999999993</v>
      </c>
      <c r="J173">
        <v>9</v>
      </c>
      <c r="K173" s="2">
        <v>0.1</v>
      </c>
      <c r="L173" s="4">
        <v>3382.16</v>
      </c>
      <c r="M173" t="s">
        <v>143</v>
      </c>
      <c r="N173" t="s">
        <v>76</v>
      </c>
      <c r="O173">
        <f>YEAR(Table1[[#This Row],[Order Date]])</f>
        <v>2024</v>
      </c>
      <c r="P173" t="str">
        <f>TEXT(Table1[[#This Row],[Order Date]],"mmmm")</f>
        <v>June</v>
      </c>
      <c r="Q173" t="str">
        <f>TEXT(Table1[[#This Row],[Order Date]],"mm")</f>
        <v>06</v>
      </c>
      <c r="R173" s="2">
        <f>Table1[[#This Row],[Profit]]/Table1[[#This Row],[Sales]]</f>
        <v>0.34737024814948336</v>
      </c>
      <c r="S173" t="str">
        <f t="shared" si="2"/>
        <v>Low (1-10%)</v>
      </c>
    </row>
    <row r="174" spans="1:19" x14ac:dyDescent="0.2">
      <c r="A174" t="s">
        <v>531</v>
      </c>
      <c r="B174" s="3" t="s">
        <v>135</v>
      </c>
      <c r="C174" t="s">
        <v>532</v>
      </c>
      <c r="D174" t="s">
        <v>27</v>
      </c>
      <c r="E174" t="s">
        <v>28</v>
      </c>
      <c r="F174" t="s">
        <v>67</v>
      </c>
      <c r="G174" t="s">
        <v>68</v>
      </c>
      <c r="H174" t="s">
        <v>103</v>
      </c>
      <c r="I174" s="4">
        <v>3686.67</v>
      </c>
      <c r="J174">
        <v>9</v>
      </c>
      <c r="K174" s="2">
        <v>0.2</v>
      </c>
      <c r="L174" s="4">
        <v>386.4</v>
      </c>
      <c r="M174" t="s">
        <v>107</v>
      </c>
      <c r="N174" t="s">
        <v>32</v>
      </c>
      <c r="O174">
        <f>YEAR(Table1[[#This Row],[Order Date]])</f>
        <v>2025</v>
      </c>
      <c r="P174" t="str">
        <f>TEXT(Table1[[#This Row],[Order Date]],"mmmm")</f>
        <v>July</v>
      </c>
      <c r="Q174" t="str">
        <f>TEXT(Table1[[#This Row],[Order Date]],"mm")</f>
        <v>07</v>
      </c>
      <c r="R174" s="2">
        <f>Table1[[#This Row],[Profit]]/Table1[[#This Row],[Sales]]</f>
        <v>0.10481003181733108</v>
      </c>
      <c r="S174" t="str">
        <f t="shared" si="2"/>
        <v>Medium (11-20%)</v>
      </c>
    </row>
    <row r="175" spans="1:19" x14ac:dyDescent="0.2">
      <c r="A175" t="s">
        <v>533</v>
      </c>
      <c r="B175" s="3" t="s">
        <v>534</v>
      </c>
      <c r="C175" t="s">
        <v>535</v>
      </c>
      <c r="D175" t="s">
        <v>17</v>
      </c>
      <c r="E175" t="s">
        <v>80</v>
      </c>
      <c r="F175" t="s">
        <v>55</v>
      </c>
      <c r="G175" t="s">
        <v>98</v>
      </c>
      <c r="H175" t="s">
        <v>99</v>
      </c>
      <c r="I175" s="4">
        <v>5429.7</v>
      </c>
      <c r="J175">
        <v>5</v>
      </c>
      <c r="K175" s="2">
        <v>0</v>
      </c>
      <c r="L175" s="4">
        <v>2335.9699999999998</v>
      </c>
      <c r="M175" t="s">
        <v>38</v>
      </c>
      <c r="N175" t="s">
        <v>23</v>
      </c>
      <c r="O175">
        <f>YEAR(Table1[[#This Row],[Order Date]])</f>
        <v>2024</v>
      </c>
      <c r="P175" t="str">
        <f>TEXT(Table1[[#This Row],[Order Date]],"mmmm")</f>
        <v>November</v>
      </c>
      <c r="Q175" t="str">
        <f>TEXT(Table1[[#This Row],[Order Date]],"mm")</f>
        <v>11</v>
      </c>
      <c r="R175" s="2">
        <f>Table1[[#This Row],[Profit]]/Table1[[#This Row],[Sales]]</f>
        <v>0.43022082251321436</v>
      </c>
      <c r="S175" t="str">
        <f t="shared" si="2"/>
        <v>No Discount</v>
      </c>
    </row>
    <row r="176" spans="1:19" x14ac:dyDescent="0.2">
      <c r="A176" t="s">
        <v>536</v>
      </c>
      <c r="B176" s="3" t="s">
        <v>537</v>
      </c>
      <c r="C176" t="s">
        <v>235</v>
      </c>
      <c r="D176" t="s">
        <v>27</v>
      </c>
      <c r="E176" t="s">
        <v>61</v>
      </c>
      <c r="F176" t="s">
        <v>67</v>
      </c>
      <c r="G176" t="s">
        <v>115</v>
      </c>
      <c r="H176" t="s">
        <v>116</v>
      </c>
      <c r="I176" s="4">
        <v>2408.6</v>
      </c>
      <c r="J176">
        <v>4</v>
      </c>
      <c r="K176" s="2">
        <v>0.15</v>
      </c>
      <c r="L176" s="4">
        <v>-176.91</v>
      </c>
      <c r="M176" t="s">
        <v>63</v>
      </c>
      <c r="N176" t="s">
        <v>39</v>
      </c>
      <c r="O176">
        <f>YEAR(Table1[[#This Row],[Order Date]])</f>
        <v>2024</v>
      </c>
      <c r="P176" t="str">
        <f>TEXT(Table1[[#This Row],[Order Date]],"mmmm")</f>
        <v>December</v>
      </c>
      <c r="Q176" t="str">
        <f>TEXT(Table1[[#This Row],[Order Date]],"mm")</f>
        <v>12</v>
      </c>
      <c r="R176" s="2">
        <f>Table1[[#This Row],[Profit]]/Table1[[#This Row],[Sales]]</f>
        <v>-7.3449306651166654E-2</v>
      </c>
      <c r="S176" t="str">
        <f t="shared" si="2"/>
        <v>Medium (11-20%)</v>
      </c>
    </row>
    <row r="177" spans="1:19" x14ac:dyDescent="0.2">
      <c r="A177" t="s">
        <v>538</v>
      </c>
      <c r="B177" s="3" t="s">
        <v>539</v>
      </c>
      <c r="C177" t="s">
        <v>540</v>
      </c>
      <c r="D177" t="s">
        <v>17</v>
      </c>
      <c r="E177" t="s">
        <v>54</v>
      </c>
      <c r="F177" t="s">
        <v>19</v>
      </c>
      <c r="G177" t="s">
        <v>36</v>
      </c>
      <c r="H177" t="s">
        <v>37</v>
      </c>
      <c r="I177" s="4">
        <v>3156.6</v>
      </c>
      <c r="J177">
        <v>6</v>
      </c>
      <c r="K177" s="2">
        <v>0.3</v>
      </c>
      <c r="L177" s="4">
        <v>-250.52</v>
      </c>
      <c r="M177" t="s">
        <v>117</v>
      </c>
      <c r="N177" t="s">
        <v>39</v>
      </c>
      <c r="O177">
        <f>YEAR(Table1[[#This Row],[Order Date]])</f>
        <v>2025</v>
      </c>
      <c r="P177" t="str">
        <f>TEXT(Table1[[#This Row],[Order Date]],"mmmm")</f>
        <v>February</v>
      </c>
      <c r="Q177" t="str">
        <f>TEXT(Table1[[#This Row],[Order Date]],"mm")</f>
        <v>02</v>
      </c>
      <c r="R177" s="2">
        <f>Table1[[#This Row],[Profit]]/Table1[[#This Row],[Sales]]</f>
        <v>-7.9363872521066983E-2</v>
      </c>
      <c r="S177" t="str">
        <f t="shared" si="2"/>
        <v>High (21-30%)</v>
      </c>
    </row>
    <row r="178" spans="1:19" x14ac:dyDescent="0.2">
      <c r="A178" t="s">
        <v>541</v>
      </c>
      <c r="B178" s="3" t="s">
        <v>542</v>
      </c>
      <c r="C178" t="s">
        <v>543</v>
      </c>
      <c r="D178" t="s">
        <v>48</v>
      </c>
      <c r="E178" t="s">
        <v>110</v>
      </c>
      <c r="F178" t="s">
        <v>67</v>
      </c>
      <c r="G178" t="s">
        <v>85</v>
      </c>
      <c r="H178" t="s">
        <v>86</v>
      </c>
      <c r="I178" s="4">
        <v>2552.9699999999998</v>
      </c>
      <c r="J178">
        <v>7</v>
      </c>
      <c r="K178" s="2">
        <v>0.25</v>
      </c>
      <c r="L178" s="4">
        <v>-165.64</v>
      </c>
      <c r="M178" t="s">
        <v>195</v>
      </c>
      <c r="N178" t="s">
        <v>39</v>
      </c>
      <c r="O178">
        <f>YEAR(Table1[[#This Row],[Order Date]])</f>
        <v>2024</v>
      </c>
      <c r="P178" t="str">
        <f>TEXT(Table1[[#This Row],[Order Date]],"mmmm")</f>
        <v>June</v>
      </c>
      <c r="Q178" t="str">
        <f>TEXT(Table1[[#This Row],[Order Date]],"mm")</f>
        <v>06</v>
      </c>
      <c r="R178" s="2">
        <f>Table1[[#This Row],[Profit]]/Table1[[#This Row],[Sales]]</f>
        <v>-6.4881295119018245E-2</v>
      </c>
      <c r="S178" t="str">
        <f t="shared" si="2"/>
        <v>High (21-30%)</v>
      </c>
    </row>
    <row r="179" spans="1:19" x14ac:dyDescent="0.2">
      <c r="A179" t="s">
        <v>544</v>
      </c>
      <c r="B179" s="3" t="s">
        <v>545</v>
      </c>
      <c r="C179" t="s">
        <v>408</v>
      </c>
      <c r="D179" t="s">
        <v>17</v>
      </c>
      <c r="E179" t="s">
        <v>97</v>
      </c>
      <c r="F179" t="s">
        <v>55</v>
      </c>
      <c r="G179" t="s">
        <v>74</v>
      </c>
      <c r="H179" t="s">
        <v>133</v>
      </c>
      <c r="I179" s="4">
        <v>3325.12</v>
      </c>
      <c r="J179">
        <v>8</v>
      </c>
      <c r="K179" s="2">
        <v>0.3</v>
      </c>
      <c r="L179" s="4">
        <v>-209.61</v>
      </c>
      <c r="M179" t="s">
        <v>195</v>
      </c>
      <c r="N179" t="s">
        <v>32</v>
      </c>
      <c r="O179">
        <f>YEAR(Table1[[#This Row],[Order Date]])</f>
        <v>2025</v>
      </c>
      <c r="P179" t="str">
        <f>TEXT(Table1[[#This Row],[Order Date]],"mmmm")</f>
        <v>April</v>
      </c>
      <c r="Q179" t="str">
        <f>TEXT(Table1[[#This Row],[Order Date]],"mm")</f>
        <v>04</v>
      </c>
      <c r="R179" s="2">
        <f>Table1[[#This Row],[Profit]]/Table1[[#This Row],[Sales]]</f>
        <v>-6.3038326436339151E-2</v>
      </c>
      <c r="S179" t="str">
        <f t="shared" si="2"/>
        <v>High (21-30%)</v>
      </c>
    </row>
    <row r="180" spans="1:19" x14ac:dyDescent="0.2">
      <c r="A180" t="s">
        <v>546</v>
      </c>
      <c r="B180" s="3" t="s">
        <v>547</v>
      </c>
      <c r="C180" t="s">
        <v>548</v>
      </c>
      <c r="D180" t="s">
        <v>17</v>
      </c>
      <c r="E180" t="s">
        <v>80</v>
      </c>
      <c r="F180" t="s">
        <v>55</v>
      </c>
      <c r="G180" t="s">
        <v>56</v>
      </c>
      <c r="H180" t="s">
        <v>62</v>
      </c>
      <c r="I180" s="4">
        <v>4594.38</v>
      </c>
      <c r="J180">
        <v>6</v>
      </c>
      <c r="K180" s="2">
        <v>0</v>
      </c>
      <c r="L180" s="4">
        <v>929.1</v>
      </c>
      <c r="M180" t="s">
        <v>87</v>
      </c>
      <c r="N180" t="s">
        <v>32</v>
      </c>
      <c r="O180">
        <f>YEAR(Table1[[#This Row],[Order Date]])</f>
        <v>2024</v>
      </c>
      <c r="P180" t="str">
        <f>TEXT(Table1[[#This Row],[Order Date]],"mmmm")</f>
        <v>December</v>
      </c>
      <c r="Q180" t="str">
        <f>TEXT(Table1[[#This Row],[Order Date]],"mm")</f>
        <v>12</v>
      </c>
      <c r="R180" s="2">
        <f>Table1[[#This Row],[Profit]]/Table1[[#This Row],[Sales]]</f>
        <v>0.20222532746529456</v>
      </c>
      <c r="S180" t="str">
        <f t="shared" si="2"/>
        <v>No Discount</v>
      </c>
    </row>
    <row r="181" spans="1:19" x14ac:dyDescent="0.2">
      <c r="A181" t="s">
        <v>549</v>
      </c>
      <c r="B181" s="3" t="s">
        <v>550</v>
      </c>
      <c r="C181" t="s">
        <v>551</v>
      </c>
      <c r="D181" t="s">
        <v>17</v>
      </c>
      <c r="E181" t="s">
        <v>80</v>
      </c>
      <c r="F181" t="s">
        <v>19</v>
      </c>
      <c r="G181" t="s">
        <v>20</v>
      </c>
      <c r="H181" t="s">
        <v>347</v>
      </c>
      <c r="I181" s="4">
        <v>5388.95</v>
      </c>
      <c r="J181">
        <v>5</v>
      </c>
      <c r="K181" s="2">
        <v>0.25</v>
      </c>
      <c r="L181" s="4">
        <v>-620.64</v>
      </c>
      <c r="M181" t="s">
        <v>107</v>
      </c>
      <c r="N181" t="s">
        <v>23</v>
      </c>
      <c r="O181">
        <f>YEAR(Table1[[#This Row],[Order Date]])</f>
        <v>2024</v>
      </c>
      <c r="P181" t="str">
        <f>TEXT(Table1[[#This Row],[Order Date]],"mmmm")</f>
        <v>June</v>
      </c>
      <c r="Q181" t="str">
        <f>TEXT(Table1[[#This Row],[Order Date]],"mm")</f>
        <v>06</v>
      </c>
      <c r="R181" s="2">
        <f>Table1[[#This Row],[Profit]]/Table1[[#This Row],[Sales]]</f>
        <v>-0.11516900323810761</v>
      </c>
      <c r="S181" t="str">
        <f t="shared" si="2"/>
        <v>High (21-30%)</v>
      </c>
    </row>
    <row r="182" spans="1:19" x14ac:dyDescent="0.2">
      <c r="A182" t="s">
        <v>552</v>
      </c>
      <c r="B182" s="3" t="s">
        <v>553</v>
      </c>
      <c r="C182" t="s">
        <v>324</v>
      </c>
      <c r="D182" t="s">
        <v>137</v>
      </c>
      <c r="E182" t="s">
        <v>138</v>
      </c>
      <c r="F182" t="s">
        <v>67</v>
      </c>
      <c r="G182" t="s">
        <v>115</v>
      </c>
      <c r="H182" t="s">
        <v>116</v>
      </c>
      <c r="I182" s="4">
        <v>6670.44</v>
      </c>
      <c r="J182">
        <v>9</v>
      </c>
      <c r="K182" s="2">
        <v>0.15</v>
      </c>
      <c r="L182" s="4">
        <v>1023.16</v>
      </c>
      <c r="M182" t="s">
        <v>22</v>
      </c>
      <c r="N182" t="s">
        <v>76</v>
      </c>
      <c r="O182">
        <f>YEAR(Table1[[#This Row],[Order Date]])</f>
        <v>2024</v>
      </c>
      <c r="P182" t="str">
        <f>TEXT(Table1[[#This Row],[Order Date]],"mmmm")</f>
        <v>April</v>
      </c>
      <c r="Q182" t="str">
        <f>TEXT(Table1[[#This Row],[Order Date]],"mm")</f>
        <v>04</v>
      </c>
      <c r="R182" s="2">
        <f>Table1[[#This Row],[Profit]]/Table1[[#This Row],[Sales]]</f>
        <v>0.15338718285450437</v>
      </c>
      <c r="S182" t="str">
        <f t="shared" si="2"/>
        <v>Medium (11-20%)</v>
      </c>
    </row>
    <row r="183" spans="1:19" x14ac:dyDescent="0.2">
      <c r="A183" t="s">
        <v>554</v>
      </c>
      <c r="B183" s="3" t="s">
        <v>555</v>
      </c>
      <c r="C183" t="s">
        <v>556</v>
      </c>
      <c r="D183" t="s">
        <v>27</v>
      </c>
      <c r="E183" t="s">
        <v>124</v>
      </c>
      <c r="F183" t="s">
        <v>67</v>
      </c>
      <c r="G183" t="s">
        <v>85</v>
      </c>
      <c r="H183" t="s">
        <v>125</v>
      </c>
      <c r="I183" s="4">
        <v>1529.28</v>
      </c>
      <c r="J183">
        <v>9</v>
      </c>
      <c r="K183" s="2">
        <v>0.25</v>
      </c>
      <c r="L183" s="4">
        <v>27.86</v>
      </c>
      <c r="M183" t="s">
        <v>107</v>
      </c>
      <c r="N183" t="s">
        <v>76</v>
      </c>
      <c r="O183">
        <f>YEAR(Table1[[#This Row],[Order Date]])</f>
        <v>2025</v>
      </c>
      <c r="P183" t="str">
        <f>TEXT(Table1[[#This Row],[Order Date]],"mmmm")</f>
        <v>March</v>
      </c>
      <c r="Q183" t="str">
        <f>TEXT(Table1[[#This Row],[Order Date]],"mm")</f>
        <v>03</v>
      </c>
      <c r="R183" s="2">
        <f>Table1[[#This Row],[Profit]]/Table1[[#This Row],[Sales]]</f>
        <v>1.8217723373090605E-2</v>
      </c>
      <c r="S183" t="str">
        <f t="shared" si="2"/>
        <v>High (21-30%)</v>
      </c>
    </row>
    <row r="184" spans="1:19" x14ac:dyDescent="0.2">
      <c r="A184" t="s">
        <v>557</v>
      </c>
      <c r="B184" s="3" t="s">
        <v>558</v>
      </c>
      <c r="C184" t="s">
        <v>421</v>
      </c>
      <c r="D184" t="s">
        <v>137</v>
      </c>
      <c r="E184" t="s">
        <v>242</v>
      </c>
      <c r="F184" t="s">
        <v>55</v>
      </c>
      <c r="G184" t="s">
        <v>56</v>
      </c>
      <c r="H184" t="s">
        <v>57</v>
      </c>
      <c r="I184" s="4">
        <v>8058.4</v>
      </c>
      <c r="J184">
        <v>8</v>
      </c>
      <c r="K184" s="2">
        <v>0.05</v>
      </c>
      <c r="L184" s="4">
        <v>1420.47</v>
      </c>
      <c r="M184" t="s">
        <v>117</v>
      </c>
      <c r="N184" t="s">
        <v>39</v>
      </c>
      <c r="O184">
        <f>YEAR(Table1[[#This Row],[Order Date]])</f>
        <v>2025</v>
      </c>
      <c r="P184" t="str">
        <f>TEXT(Table1[[#This Row],[Order Date]],"mmmm")</f>
        <v>March</v>
      </c>
      <c r="Q184" t="str">
        <f>TEXT(Table1[[#This Row],[Order Date]],"mm")</f>
        <v>03</v>
      </c>
      <c r="R184" s="2">
        <f>Table1[[#This Row],[Profit]]/Table1[[#This Row],[Sales]]</f>
        <v>0.17627196465799663</v>
      </c>
      <c r="S184" t="str">
        <f t="shared" si="2"/>
        <v>Low (1-10%)</v>
      </c>
    </row>
    <row r="185" spans="1:19" x14ac:dyDescent="0.2">
      <c r="A185" t="s">
        <v>559</v>
      </c>
      <c r="B185" s="3" t="s">
        <v>560</v>
      </c>
      <c r="C185" t="s">
        <v>340</v>
      </c>
      <c r="D185" t="s">
        <v>27</v>
      </c>
      <c r="E185" t="s">
        <v>28</v>
      </c>
      <c r="F185" t="s">
        <v>19</v>
      </c>
      <c r="G185" t="s">
        <v>29</v>
      </c>
      <c r="H185" t="s">
        <v>50</v>
      </c>
      <c r="I185" s="4">
        <v>7951.6</v>
      </c>
      <c r="J185">
        <v>8</v>
      </c>
      <c r="K185" s="2">
        <v>0.3</v>
      </c>
      <c r="L185" s="4">
        <v>531.36</v>
      </c>
      <c r="M185" t="s">
        <v>38</v>
      </c>
      <c r="N185" t="s">
        <v>23</v>
      </c>
      <c r="O185">
        <f>YEAR(Table1[[#This Row],[Order Date]])</f>
        <v>2025</v>
      </c>
      <c r="P185" t="str">
        <f>TEXT(Table1[[#This Row],[Order Date]],"mmmm")</f>
        <v>April</v>
      </c>
      <c r="Q185" t="str">
        <f>TEXT(Table1[[#This Row],[Order Date]],"mm")</f>
        <v>04</v>
      </c>
      <c r="R185" s="2">
        <f>Table1[[#This Row],[Profit]]/Table1[[#This Row],[Sales]]</f>
        <v>6.6824286935962568E-2</v>
      </c>
      <c r="S185" t="str">
        <f t="shared" si="2"/>
        <v>High (21-30%)</v>
      </c>
    </row>
    <row r="186" spans="1:19" x14ac:dyDescent="0.2">
      <c r="A186" t="s">
        <v>561</v>
      </c>
      <c r="B186" s="3" t="s">
        <v>562</v>
      </c>
      <c r="C186" t="s">
        <v>350</v>
      </c>
      <c r="D186" t="s">
        <v>48</v>
      </c>
      <c r="E186" t="s">
        <v>73</v>
      </c>
      <c r="F186" t="s">
        <v>55</v>
      </c>
      <c r="G186" t="s">
        <v>98</v>
      </c>
      <c r="H186" t="s">
        <v>154</v>
      </c>
      <c r="I186" s="4">
        <v>6223</v>
      </c>
      <c r="J186">
        <v>7</v>
      </c>
      <c r="K186" s="2">
        <v>0.25</v>
      </c>
      <c r="L186" s="4">
        <v>112.66</v>
      </c>
      <c r="M186" t="s">
        <v>38</v>
      </c>
      <c r="N186" t="s">
        <v>23</v>
      </c>
      <c r="O186">
        <f>YEAR(Table1[[#This Row],[Order Date]])</f>
        <v>2024</v>
      </c>
      <c r="P186" t="str">
        <f>TEXT(Table1[[#This Row],[Order Date]],"mmmm")</f>
        <v>February</v>
      </c>
      <c r="Q186" t="str">
        <f>TEXT(Table1[[#This Row],[Order Date]],"mm")</f>
        <v>02</v>
      </c>
      <c r="R186" s="2">
        <f>Table1[[#This Row],[Profit]]/Table1[[#This Row],[Sales]]</f>
        <v>1.8103808452514865E-2</v>
      </c>
      <c r="S186" t="str">
        <f t="shared" si="2"/>
        <v>High (21-30%)</v>
      </c>
    </row>
    <row r="187" spans="1:19" x14ac:dyDescent="0.2">
      <c r="A187" t="s">
        <v>563</v>
      </c>
      <c r="B187" s="3" t="s">
        <v>105</v>
      </c>
      <c r="C187" t="s">
        <v>60</v>
      </c>
      <c r="D187" t="s">
        <v>137</v>
      </c>
      <c r="E187" t="s">
        <v>160</v>
      </c>
      <c r="F187" t="s">
        <v>55</v>
      </c>
      <c r="G187" t="s">
        <v>56</v>
      </c>
      <c r="H187" t="s">
        <v>57</v>
      </c>
      <c r="I187" s="4">
        <v>9335.34</v>
      </c>
      <c r="J187">
        <v>9</v>
      </c>
      <c r="K187" s="2">
        <v>0.3</v>
      </c>
      <c r="L187" s="4">
        <v>-1121.1300000000001</v>
      </c>
      <c r="M187" t="s">
        <v>22</v>
      </c>
      <c r="N187" t="s">
        <v>39</v>
      </c>
      <c r="O187">
        <f>YEAR(Table1[[#This Row],[Order Date]])</f>
        <v>2025</v>
      </c>
      <c r="P187" t="str">
        <f>TEXT(Table1[[#This Row],[Order Date]],"mmmm")</f>
        <v>March</v>
      </c>
      <c r="Q187" t="str">
        <f>TEXT(Table1[[#This Row],[Order Date]],"mm")</f>
        <v>03</v>
      </c>
      <c r="R187" s="2">
        <f>Table1[[#This Row],[Profit]]/Table1[[#This Row],[Sales]]</f>
        <v>-0.12009525094961727</v>
      </c>
      <c r="S187" t="str">
        <f t="shared" si="2"/>
        <v>High (21-30%)</v>
      </c>
    </row>
    <row r="188" spans="1:19" x14ac:dyDescent="0.2">
      <c r="A188" t="s">
        <v>564</v>
      </c>
      <c r="B188" s="3" t="s">
        <v>565</v>
      </c>
      <c r="C188" t="s">
        <v>566</v>
      </c>
      <c r="D188" t="s">
        <v>137</v>
      </c>
      <c r="E188" t="s">
        <v>138</v>
      </c>
      <c r="F188" t="s">
        <v>55</v>
      </c>
      <c r="G188" t="s">
        <v>56</v>
      </c>
      <c r="H188" t="s">
        <v>129</v>
      </c>
      <c r="I188" s="4">
        <v>7320.95</v>
      </c>
      <c r="J188">
        <v>7</v>
      </c>
      <c r="K188" s="2">
        <v>0.25</v>
      </c>
      <c r="L188" s="4">
        <v>-1208.1600000000001</v>
      </c>
      <c r="M188" t="s">
        <v>87</v>
      </c>
      <c r="N188" t="s">
        <v>39</v>
      </c>
      <c r="O188">
        <f>YEAR(Table1[[#This Row],[Order Date]])</f>
        <v>2025</v>
      </c>
      <c r="P188" t="str">
        <f>TEXT(Table1[[#This Row],[Order Date]],"mmmm")</f>
        <v>January</v>
      </c>
      <c r="Q188" t="str">
        <f>TEXT(Table1[[#This Row],[Order Date]],"mm")</f>
        <v>01</v>
      </c>
      <c r="R188" s="2">
        <f>Table1[[#This Row],[Profit]]/Table1[[#This Row],[Sales]]</f>
        <v>-0.16502776279034825</v>
      </c>
      <c r="S188" t="str">
        <f t="shared" si="2"/>
        <v>High (21-30%)</v>
      </c>
    </row>
    <row r="189" spans="1:19" x14ac:dyDescent="0.2">
      <c r="A189" t="s">
        <v>567</v>
      </c>
      <c r="B189" s="3" t="s">
        <v>568</v>
      </c>
      <c r="C189" t="s">
        <v>286</v>
      </c>
      <c r="D189" t="s">
        <v>27</v>
      </c>
      <c r="E189" t="s">
        <v>124</v>
      </c>
      <c r="F189" t="s">
        <v>67</v>
      </c>
      <c r="G189" t="s">
        <v>115</v>
      </c>
      <c r="H189" t="s">
        <v>212</v>
      </c>
      <c r="I189" s="4">
        <v>1060.55</v>
      </c>
      <c r="J189">
        <v>5</v>
      </c>
      <c r="K189" s="2">
        <v>0.2</v>
      </c>
      <c r="L189" s="4">
        <v>-80.930000000000007</v>
      </c>
      <c r="M189" t="s">
        <v>107</v>
      </c>
      <c r="N189" t="s">
        <v>76</v>
      </c>
      <c r="O189">
        <f>YEAR(Table1[[#This Row],[Order Date]])</f>
        <v>2025</v>
      </c>
      <c r="P189" t="str">
        <f>TEXT(Table1[[#This Row],[Order Date]],"mmmm")</f>
        <v>December</v>
      </c>
      <c r="Q189" t="str">
        <f>TEXT(Table1[[#This Row],[Order Date]],"mm")</f>
        <v>12</v>
      </c>
      <c r="R189" s="2">
        <f>Table1[[#This Row],[Profit]]/Table1[[#This Row],[Sales]]</f>
        <v>-7.630946207156665E-2</v>
      </c>
      <c r="S189" t="str">
        <f t="shared" si="2"/>
        <v>Medium (11-20%)</v>
      </c>
    </row>
    <row r="190" spans="1:19" x14ac:dyDescent="0.2">
      <c r="A190" t="s">
        <v>569</v>
      </c>
      <c r="B190" s="3" t="s">
        <v>570</v>
      </c>
      <c r="C190" t="s">
        <v>571</v>
      </c>
      <c r="D190" t="s">
        <v>48</v>
      </c>
      <c r="E190" t="s">
        <v>73</v>
      </c>
      <c r="F190" t="s">
        <v>55</v>
      </c>
      <c r="G190" t="s">
        <v>56</v>
      </c>
      <c r="H190" t="s">
        <v>129</v>
      </c>
      <c r="I190" s="4">
        <v>2568.7199999999998</v>
      </c>
      <c r="J190">
        <v>8</v>
      </c>
      <c r="K190" s="2">
        <v>0.05</v>
      </c>
      <c r="L190" s="4">
        <v>668.07</v>
      </c>
      <c r="M190" t="s">
        <v>22</v>
      </c>
      <c r="N190" t="s">
        <v>32</v>
      </c>
      <c r="O190">
        <f>YEAR(Table1[[#This Row],[Order Date]])</f>
        <v>2025</v>
      </c>
      <c r="P190" t="str">
        <f>TEXT(Table1[[#This Row],[Order Date]],"mmmm")</f>
        <v>March</v>
      </c>
      <c r="Q190" t="str">
        <f>TEXT(Table1[[#This Row],[Order Date]],"mm")</f>
        <v>03</v>
      </c>
      <c r="R190" s="2">
        <f>Table1[[#This Row],[Profit]]/Table1[[#This Row],[Sales]]</f>
        <v>0.2600789498271513</v>
      </c>
      <c r="S190" t="str">
        <f t="shared" si="2"/>
        <v>Low (1-10%)</v>
      </c>
    </row>
    <row r="191" spans="1:19" x14ac:dyDescent="0.2">
      <c r="A191" t="s">
        <v>572</v>
      </c>
      <c r="B191" s="3" t="s">
        <v>573</v>
      </c>
      <c r="C191" t="s">
        <v>47</v>
      </c>
      <c r="D191" t="s">
        <v>17</v>
      </c>
      <c r="E191" t="s">
        <v>80</v>
      </c>
      <c r="F191" t="s">
        <v>55</v>
      </c>
      <c r="G191" t="s">
        <v>74</v>
      </c>
      <c r="H191" t="s">
        <v>75</v>
      </c>
      <c r="I191" s="4">
        <v>5028.7</v>
      </c>
      <c r="J191">
        <v>10</v>
      </c>
      <c r="K191" s="2">
        <v>0.3</v>
      </c>
      <c r="L191" s="4">
        <v>668.52</v>
      </c>
      <c r="M191" t="s">
        <v>117</v>
      </c>
      <c r="N191" t="s">
        <v>39</v>
      </c>
      <c r="O191">
        <f>YEAR(Table1[[#This Row],[Order Date]])</f>
        <v>2024</v>
      </c>
      <c r="P191" t="str">
        <f>TEXT(Table1[[#This Row],[Order Date]],"mmmm")</f>
        <v>January</v>
      </c>
      <c r="Q191" t="str">
        <f>TEXT(Table1[[#This Row],[Order Date]],"mm")</f>
        <v>01</v>
      </c>
      <c r="R191" s="2">
        <f>Table1[[#This Row],[Profit]]/Table1[[#This Row],[Sales]]</f>
        <v>0.13294091912422693</v>
      </c>
      <c r="S191" t="str">
        <f t="shared" si="2"/>
        <v>High (21-30%)</v>
      </c>
    </row>
    <row r="192" spans="1:19" x14ac:dyDescent="0.2">
      <c r="A192" t="s">
        <v>574</v>
      </c>
      <c r="B192" s="3" t="s">
        <v>131</v>
      </c>
      <c r="C192" t="s">
        <v>268</v>
      </c>
      <c r="D192" t="s">
        <v>48</v>
      </c>
      <c r="E192" t="s">
        <v>110</v>
      </c>
      <c r="F192" t="s">
        <v>19</v>
      </c>
      <c r="G192" t="s">
        <v>20</v>
      </c>
      <c r="H192" t="s">
        <v>347</v>
      </c>
      <c r="I192" s="4">
        <v>7182</v>
      </c>
      <c r="J192">
        <v>7</v>
      </c>
      <c r="K192" s="2">
        <v>0.1</v>
      </c>
      <c r="L192" s="4">
        <v>1619.83</v>
      </c>
      <c r="M192" t="s">
        <v>44</v>
      </c>
      <c r="N192" t="s">
        <v>32</v>
      </c>
      <c r="O192">
        <f>YEAR(Table1[[#This Row],[Order Date]])</f>
        <v>2024</v>
      </c>
      <c r="P192" t="str">
        <f>TEXT(Table1[[#This Row],[Order Date]],"mmmm")</f>
        <v>January</v>
      </c>
      <c r="Q192" t="str">
        <f>TEXT(Table1[[#This Row],[Order Date]],"mm")</f>
        <v>01</v>
      </c>
      <c r="R192" s="2">
        <f>Table1[[#This Row],[Profit]]/Table1[[#This Row],[Sales]]</f>
        <v>0.2255402394876079</v>
      </c>
      <c r="S192" t="str">
        <f t="shared" si="2"/>
        <v>Low (1-10%)</v>
      </c>
    </row>
    <row r="193" spans="1:19" x14ac:dyDescent="0.2">
      <c r="A193" t="s">
        <v>575</v>
      </c>
      <c r="B193" s="3" t="s">
        <v>576</v>
      </c>
      <c r="C193" t="s">
        <v>286</v>
      </c>
      <c r="D193" t="s">
        <v>137</v>
      </c>
      <c r="E193" t="s">
        <v>138</v>
      </c>
      <c r="F193" t="s">
        <v>19</v>
      </c>
      <c r="G193" t="s">
        <v>20</v>
      </c>
      <c r="H193" t="s">
        <v>21</v>
      </c>
      <c r="I193" s="4">
        <v>4739.8999999999996</v>
      </c>
      <c r="J193">
        <v>10</v>
      </c>
      <c r="K193" s="2">
        <v>0.05</v>
      </c>
      <c r="L193" s="4">
        <v>405.97</v>
      </c>
      <c r="M193" t="s">
        <v>117</v>
      </c>
      <c r="N193" t="s">
        <v>76</v>
      </c>
      <c r="O193">
        <f>YEAR(Table1[[#This Row],[Order Date]])</f>
        <v>2024</v>
      </c>
      <c r="P193" t="str">
        <f>TEXT(Table1[[#This Row],[Order Date]],"mmmm")</f>
        <v>October</v>
      </c>
      <c r="Q193" t="str">
        <f>TEXT(Table1[[#This Row],[Order Date]],"mm")</f>
        <v>10</v>
      </c>
      <c r="R193" s="2">
        <f>Table1[[#This Row],[Profit]]/Table1[[#This Row],[Sales]]</f>
        <v>8.5649486276081779E-2</v>
      </c>
      <c r="S193" t="str">
        <f t="shared" si="2"/>
        <v>Low (1-10%)</v>
      </c>
    </row>
    <row r="194" spans="1:19" x14ac:dyDescent="0.2">
      <c r="A194" t="s">
        <v>577</v>
      </c>
      <c r="B194" s="3" t="s">
        <v>578</v>
      </c>
      <c r="C194" t="s">
        <v>464</v>
      </c>
      <c r="D194" t="s">
        <v>48</v>
      </c>
      <c r="E194" t="s">
        <v>110</v>
      </c>
      <c r="F194" t="s">
        <v>55</v>
      </c>
      <c r="G194" t="s">
        <v>98</v>
      </c>
      <c r="H194" t="s">
        <v>99</v>
      </c>
      <c r="I194" s="4">
        <v>2480.6999999999998</v>
      </c>
      <c r="J194">
        <v>10</v>
      </c>
      <c r="K194" s="2">
        <v>0</v>
      </c>
      <c r="L194" s="4">
        <v>772.79</v>
      </c>
      <c r="M194" t="s">
        <v>195</v>
      </c>
      <c r="N194" t="s">
        <v>39</v>
      </c>
      <c r="O194">
        <f>YEAR(Table1[[#This Row],[Order Date]])</f>
        <v>2025</v>
      </c>
      <c r="P194" t="str">
        <f>TEXT(Table1[[#This Row],[Order Date]],"mmmm")</f>
        <v>February</v>
      </c>
      <c r="Q194" t="str">
        <f>TEXT(Table1[[#This Row],[Order Date]],"mm")</f>
        <v>02</v>
      </c>
      <c r="R194" s="2">
        <f>Table1[[#This Row],[Profit]]/Table1[[#This Row],[Sales]]</f>
        <v>0.31152094166969002</v>
      </c>
      <c r="S194" t="str">
        <f t="shared" ref="S194:S257" si="3">IF(K194=0,"No Discount",
IF(K194&lt;=0.1,"Low (1-10%)",
IF(K194&lt;=0.2,"Medium (11-20%)",
IF(K194&lt;=0.3,"High (21-30%)","Very High (&gt;30%)"))))</f>
        <v>No Discount</v>
      </c>
    </row>
    <row r="195" spans="1:19" x14ac:dyDescent="0.2">
      <c r="A195" t="s">
        <v>579</v>
      </c>
      <c r="B195" s="3" t="s">
        <v>580</v>
      </c>
      <c r="C195" t="s">
        <v>332</v>
      </c>
      <c r="D195" t="s">
        <v>137</v>
      </c>
      <c r="E195" t="s">
        <v>242</v>
      </c>
      <c r="F195" t="s">
        <v>55</v>
      </c>
      <c r="G195" t="s">
        <v>98</v>
      </c>
      <c r="H195" t="s">
        <v>154</v>
      </c>
      <c r="I195" s="4">
        <v>9379.7000000000007</v>
      </c>
      <c r="J195">
        <v>10</v>
      </c>
      <c r="K195" s="2">
        <v>0.05</v>
      </c>
      <c r="L195" s="4">
        <v>1304.29</v>
      </c>
      <c r="M195" t="s">
        <v>107</v>
      </c>
      <c r="N195" t="s">
        <v>76</v>
      </c>
      <c r="O195">
        <f>YEAR(Table1[[#This Row],[Order Date]])</f>
        <v>2025</v>
      </c>
      <c r="P195" t="str">
        <f>TEXT(Table1[[#This Row],[Order Date]],"mmmm")</f>
        <v>December</v>
      </c>
      <c r="Q195" t="str">
        <f>TEXT(Table1[[#This Row],[Order Date]],"mm")</f>
        <v>12</v>
      </c>
      <c r="R195" s="2">
        <f>Table1[[#This Row],[Profit]]/Table1[[#This Row],[Sales]]</f>
        <v>0.13905455398360286</v>
      </c>
      <c r="S195" t="str">
        <f t="shared" si="3"/>
        <v>Low (1-10%)</v>
      </c>
    </row>
    <row r="196" spans="1:19" x14ac:dyDescent="0.2">
      <c r="A196" t="s">
        <v>581</v>
      </c>
      <c r="B196" s="3" t="s">
        <v>582</v>
      </c>
      <c r="C196" t="s">
        <v>583</v>
      </c>
      <c r="D196" t="s">
        <v>48</v>
      </c>
      <c r="E196" t="s">
        <v>49</v>
      </c>
      <c r="F196" t="s">
        <v>19</v>
      </c>
      <c r="G196" t="s">
        <v>36</v>
      </c>
      <c r="H196" t="s">
        <v>37</v>
      </c>
      <c r="I196" s="4">
        <v>1119.22</v>
      </c>
      <c r="J196">
        <v>2</v>
      </c>
      <c r="K196" s="2">
        <v>0.05</v>
      </c>
      <c r="L196" s="4">
        <v>46.92</v>
      </c>
      <c r="M196" t="s">
        <v>195</v>
      </c>
      <c r="N196" t="s">
        <v>32</v>
      </c>
      <c r="O196">
        <f>YEAR(Table1[[#This Row],[Order Date]])</f>
        <v>2025</v>
      </c>
      <c r="P196" t="str">
        <f>TEXT(Table1[[#This Row],[Order Date]],"mmmm")</f>
        <v>September</v>
      </c>
      <c r="Q196" t="str">
        <f>TEXT(Table1[[#This Row],[Order Date]],"mm")</f>
        <v>09</v>
      </c>
      <c r="R196" s="2">
        <f>Table1[[#This Row],[Profit]]/Table1[[#This Row],[Sales]]</f>
        <v>4.1922052858240563E-2</v>
      </c>
      <c r="S196" t="str">
        <f t="shared" si="3"/>
        <v>Low (1-10%)</v>
      </c>
    </row>
    <row r="197" spans="1:19" x14ac:dyDescent="0.2">
      <c r="A197" t="s">
        <v>584</v>
      </c>
      <c r="B197" s="3" t="s">
        <v>585</v>
      </c>
      <c r="C197" t="s">
        <v>275</v>
      </c>
      <c r="D197" t="s">
        <v>48</v>
      </c>
      <c r="E197" t="s">
        <v>110</v>
      </c>
      <c r="F197" t="s">
        <v>67</v>
      </c>
      <c r="G197" t="s">
        <v>115</v>
      </c>
      <c r="H197" t="s">
        <v>178</v>
      </c>
      <c r="I197" s="4">
        <v>1180.08</v>
      </c>
      <c r="J197">
        <v>3</v>
      </c>
      <c r="K197" s="2">
        <v>0.15</v>
      </c>
      <c r="L197" s="4">
        <v>-97.91</v>
      </c>
      <c r="M197" t="s">
        <v>44</v>
      </c>
      <c r="N197" t="s">
        <v>23</v>
      </c>
      <c r="O197">
        <f>YEAR(Table1[[#This Row],[Order Date]])</f>
        <v>2025</v>
      </c>
      <c r="P197" t="str">
        <f>TEXT(Table1[[#This Row],[Order Date]],"mmmm")</f>
        <v>June</v>
      </c>
      <c r="Q197" t="str">
        <f>TEXT(Table1[[#This Row],[Order Date]],"mm")</f>
        <v>06</v>
      </c>
      <c r="R197" s="2">
        <f>Table1[[#This Row],[Profit]]/Table1[[#This Row],[Sales]]</f>
        <v>-8.2968951257541862E-2</v>
      </c>
      <c r="S197" t="str">
        <f t="shared" si="3"/>
        <v>Medium (11-20%)</v>
      </c>
    </row>
    <row r="198" spans="1:19" x14ac:dyDescent="0.2">
      <c r="A198" t="s">
        <v>586</v>
      </c>
      <c r="B198" s="3" t="s">
        <v>587</v>
      </c>
      <c r="C198" t="s">
        <v>588</v>
      </c>
      <c r="D198" t="s">
        <v>48</v>
      </c>
      <c r="E198" t="s">
        <v>49</v>
      </c>
      <c r="F198" t="s">
        <v>19</v>
      </c>
      <c r="G198" t="s">
        <v>29</v>
      </c>
      <c r="H198" t="s">
        <v>199</v>
      </c>
      <c r="I198" s="4">
        <v>4608.08</v>
      </c>
      <c r="J198">
        <v>4</v>
      </c>
      <c r="K198" s="2">
        <v>0.3</v>
      </c>
      <c r="L198" s="4">
        <v>-1022.6</v>
      </c>
      <c r="M198" t="s">
        <v>107</v>
      </c>
      <c r="N198" t="s">
        <v>76</v>
      </c>
      <c r="O198">
        <f>YEAR(Table1[[#This Row],[Order Date]])</f>
        <v>2024</v>
      </c>
      <c r="P198" t="str">
        <f>TEXT(Table1[[#This Row],[Order Date]],"mmmm")</f>
        <v>October</v>
      </c>
      <c r="Q198" t="str">
        <f>TEXT(Table1[[#This Row],[Order Date]],"mm")</f>
        <v>10</v>
      </c>
      <c r="R198" s="2">
        <f>Table1[[#This Row],[Profit]]/Table1[[#This Row],[Sales]]</f>
        <v>-0.22191455009461641</v>
      </c>
      <c r="S198" t="str">
        <f t="shared" si="3"/>
        <v>High (21-30%)</v>
      </c>
    </row>
    <row r="199" spans="1:19" x14ac:dyDescent="0.2">
      <c r="A199" t="s">
        <v>589</v>
      </c>
      <c r="B199" s="3" t="s">
        <v>590</v>
      </c>
      <c r="C199" t="s">
        <v>355</v>
      </c>
      <c r="D199" t="s">
        <v>27</v>
      </c>
      <c r="E199" t="s">
        <v>43</v>
      </c>
      <c r="F199" t="s">
        <v>19</v>
      </c>
      <c r="G199" t="s">
        <v>29</v>
      </c>
      <c r="H199" t="s">
        <v>30</v>
      </c>
      <c r="I199" s="4">
        <v>778.4</v>
      </c>
      <c r="J199">
        <v>5</v>
      </c>
      <c r="K199" s="2">
        <v>0.15</v>
      </c>
      <c r="L199" s="4">
        <v>83.4</v>
      </c>
      <c r="M199" t="s">
        <v>143</v>
      </c>
      <c r="N199" t="s">
        <v>39</v>
      </c>
      <c r="O199">
        <f>YEAR(Table1[[#This Row],[Order Date]])</f>
        <v>2024</v>
      </c>
      <c r="P199" t="str">
        <f>TEXT(Table1[[#This Row],[Order Date]],"mmmm")</f>
        <v>July</v>
      </c>
      <c r="Q199" t="str">
        <f>TEXT(Table1[[#This Row],[Order Date]],"mm")</f>
        <v>07</v>
      </c>
      <c r="R199" s="2">
        <f>Table1[[#This Row],[Profit]]/Table1[[#This Row],[Sales]]</f>
        <v>0.10714285714285715</v>
      </c>
      <c r="S199" t="str">
        <f t="shared" si="3"/>
        <v>Medium (11-20%)</v>
      </c>
    </row>
    <row r="200" spans="1:19" x14ac:dyDescent="0.2">
      <c r="A200" t="s">
        <v>591</v>
      </c>
      <c r="B200" s="3" t="s">
        <v>592</v>
      </c>
      <c r="C200" t="s">
        <v>215</v>
      </c>
      <c r="D200" t="s">
        <v>27</v>
      </c>
      <c r="E200" t="s">
        <v>124</v>
      </c>
      <c r="F200" t="s">
        <v>67</v>
      </c>
      <c r="G200" t="s">
        <v>85</v>
      </c>
      <c r="H200" t="s">
        <v>253</v>
      </c>
      <c r="I200" s="4">
        <v>1090.32</v>
      </c>
      <c r="J200">
        <v>2</v>
      </c>
      <c r="K200" s="2">
        <v>0.25</v>
      </c>
      <c r="L200" s="4">
        <v>-211.67</v>
      </c>
      <c r="M200" t="s">
        <v>143</v>
      </c>
      <c r="N200" t="s">
        <v>39</v>
      </c>
      <c r="O200">
        <f>YEAR(Table1[[#This Row],[Order Date]])</f>
        <v>2024</v>
      </c>
      <c r="P200" t="str">
        <f>TEXT(Table1[[#This Row],[Order Date]],"mmmm")</f>
        <v>August</v>
      </c>
      <c r="Q200" t="str">
        <f>TEXT(Table1[[#This Row],[Order Date]],"mm")</f>
        <v>08</v>
      </c>
      <c r="R200" s="2">
        <f>Table1[[#This Row],[Profit]]/Table1[[#This Row],[Sales]]</f>
        <v>-0.1941356665932937</v>
      </c>
      <c r="S200" t="str">
        <f t="shared" si="3"/>
        <v>High (21-30%)</v>
      </c>
    </row>
    <row r="201" spans="1:19" x14ac:dyDescent="0.2">
      <c r="A201" t="s">
        <v>593</v>
      </c>
      <c r="B201" s="3" t="s">
        <v>594</v>
      </c>
      <c r="C201" t="s">
        <v>411</v>
      </c>
      <c r="D201" t="s">
        <v>17</v>
      </c>
      <c r="E201" t="s">
        <v>97</v>
      </c>
      <c r="F201" t="s">
        <v>19</v>
      </c>
      <c r="G201" t="s">
        <v>36</v>
      </c>
      <c r="H201" t="s">
        <v>111</v>
      </c>
      <c r="I201" s="4">
        <v>5014.26</v>
      </c>
      <c r="J201">
        <v>6</v>
      </c>
      <c r="K201" s="2">
        <v>0.1</v>
      </c>
      <c r="L201" s="4">
        <v>362.96</v>
      </c>
      <c r="M201" t="s">
        <v>63</v>
      </c>
      <c r="N201" t="s">
        <v>32</v>
      </c>
      <c r="O201">
        <f>YEAR(Table1[[#This Row],[Order Date]])</f>
        <v>2024</v>
      </c>
      <c r="P201" t="str">
        <f>TEXT(Table1[[#This Row],[Order Date]],"mmmm")</f>
        <v>February</v>
      </c>
      <c r="Q201" t="str">
        <f>TEXT(Table1[[#This Row],[Order Date]],"mm")</f>
        <v>02</v>
      </c>
      <c r="R201" s="2">
        <f>Table1[[#This Row],[Profit]]/Table1[[#This Row],[Sales]]</f>
        <v>7.2385556393166683E-2</v>
      </c>
      <c r="S201" t="str">
        <f t="shared" si="3"/>
        <v>Low (1-10%)</v>
      </c>
    </row>
    <row r="202" spans="1:19" x14ac:dyDescent="0.2">
      <c r="A202" t="s">
        <v>595</v>
      </c>
      <c r="B202" s="3" t="s">
        <v>596</v>
      </c>
      <c r="C202" t="s">
        <v>408</v>
      </c>
      <c r="D202" t="s">
        <v>137</v>
      </c>
      <c r="E202" t="s">
        <v>142</v>
      </c>
      <c r="F202" t="s">
        <v>19</v>
      </c>
      <c r="G202" t="s">
        <v>36</v>
      </c>
      <c r="H202" t="s">
        <v>111</v>
      </c>
      <c r="I202" s="4">
        <v>1381.56</v>
      </c>
      <c r="J202">
        <v>6</v>
      </c>
      <c r="K202" s="2">
        <v>0.2</v>
      </c>
      <c r="L202" s="4">
        <v>185.05</v>
      </c>
      <c r="M202" t="s">
        <v>143</v>
      </c>
      <c r="N202" t="s">
        <v>39</v>
      </c>
      <c r="O202">
        <f>YEAR(Table1[[#This Row],[Order Date]])</f>
        <v>2024</v>
      </c>
      <c r="P202" t="str">
        <f>TEXT(Table1[[#This Row],[Order Date]],"mmmm")</f>
        <v>November</v>
      </c>
      <c r="Q202" t="str">
        <f>TEXT(Table1[[#This Row],[Order Date]],"mm")</f>
        <v>11</v>
      </c>
      <c r="R202" s="2">
        <f>Table1[[#This Row],[Profit]]/Table1[[#This Row],[Sales]]</f>
        <v>0.13394278931063436</v>
      </c>
      <c r="S202" t="str">
        <f t="shared" si="3"/>
        <v>Medium (11-20%)</v>
      </c>
    </row>
    <row r="203" spans="1:19" x14ac:dyDescent="0.2">
      <c r="A203" t="s">
        <v>597</v>
      </c>
      <c r="B203" s="3" t="s">
        <v>598</v>
      </c>
      <c r="C203" t="s">
        <v>305</v>
      </c>
      <c r="D203" t="s">
        <v>27</v>
      </c>
      <c r="E203" t="s">
        <v>124</v>
      </c>
      <c r="F203" t="s">
        <v>55</v>
      </c>
      <c r="G203" t="s">
        <v>74</v>
      </c>
      <c r="H203" t="s">
        <v>75</v>
      </c>
      <c r="I203" s="4">
        <v>4907.76</v>
      </c>
      <c r="J203">
        <v>6</v>
      </c>
      <c r="K203" s="2">
        <v>0</v>
      </c>
      <c r="L203" s="4">
        <v>2072.31</v>
      </c>
      <c r="M203" t="s">
        <v>87</v>
      </c>
      <c r="N203" t="s">
        <v>32</v>
      </c>
      <c r="O203">
        <f>YEAR(Table1[[#This Row],[Order Date]])</f>
        <v>2025</v>
      </c>
      <c r="P203" t="str">
        <f>TEXT(Table1[[#This Row],[Order Date]],"mmmm")</f>
        <v>September</v>
      </c>
      <c r="Q203" t="str">
        <f>TEXT(Table1[[#This Row],[Order Date]],"mm")</f>
        <v>09</v>
      </c>
      <c r="R203" s="2">
        <f>Table1[[#This Row],[Profit]]/Table1[[#This Row],[Sales]]</f>
        <v>0.42225169934960144</v>
      </c>
      <c r="S203" t="str">
        <f t="shared" si="3"/>
        <v>No Discount</v>
      </c>
    </row>
    <row r="204" spans="1:19" x14ac:dyDescent="0.2">
      <c r="A204" t="s">
        <v>599</v>
      </c>
      <c r="B204" s="3" t="s">
        <v>600</v>
      </c>
      <c r="C204" t="s">
        <v>601</v>
      </c>
      <c r="D204" t="s">
        <v>17</v>
      </c>
      <c r="E204" t="s">
        <v>97</v>
      </c>
      <c r="F204" t="s">
        <v>67</v>
      </c>
      <c r="G204" t="s">
        <v>115</v>
      </c>
      <c r="H204" t="s">
        <v>178</v>
      </c>
      <c r="I204" s="4">
        <v>1263.28</v>
      </c>
      <c r="J204">
        <v>8</v>
      </c>
      <c r="K204" s="2">
        <v>0.15</v>
      </c>
      <c r="L204" s="4">
        <v>-44.37</v>
      </c>
      <c r="M204" t="s">
        <v>107</v>
      </c>
      <c r="N204" t="s">
        <v>76</v>
      </c>
      <c r="O204">
        <f>YEAR(Table1[[#This Row],[Order Date]])</f>
        <v>2025</v>
      </c>
      <c r="P204" t="str">
        <f>TEXT(Table1[[#This Row],[Order Date]],"mmmm")</f>
        <v>October</v>
      </c>
      <c r="Q204" t="str">
        <f>TEXT(Table1[[#This Row],[Order Date]],"mm")</f>
        <v>10</v>
      </c>
      <c r="R204" s="2">
        <f>Table1[[#This Row],[Profit]]/Table1[[#This Row],[Sales]]</f>
        <v>-3.5122854790703567E-2</v>
      </c>
      <c r="S204" t="str">
        <f t="shared" si="3"/>
        <v>Medium (11-20%)</v>
      </c>
    </row>
    <row r="205" spans="1:19" x14ac:dyDescent="0.2">
      <c r="A205" t="s">
        <v>602</v>
      </c>
      <c r="B205" s="3" t="s">
        <v>603</v>
      </c>
      <c r="C205" t="s">
        <v>358</v>
      </c>
      <c r="D205" t="s">
        <v>137</v>
      </c>
      <c r="E205" t="s">
        <v>160</v>
      </c>
      <c r="F205" t="s">
        <v>55</v>
      </c>
      <c r="G205" t="s">
        <v>74</v>
      </c>
      <c r="H205" t="s">
        <v>75</v>
      </c>
      <c r="I205" s="4">
        <v>1046.53</v>
      </c>
      <c r="J205">
        <v>1</v>
      </c>
      <c r="K205" s="2">
        <v>0.25</v>
      </c>
      <c r="L205" s="4">
        <v>75.069999999999993</v>
      </c>
      <c r="M205" t="s">
        <v>143</v>
      </c>
      <c r="N205" t="s">
        <v>32</v>
      </c>
      <c r="O205">
        <f>YEAR(Table1[[#This Row],[Order Date]])</f>
        <v>2025</v>
      </c>
      <c r="P205" t="str">
        <f>TEXT(Table1[[#This Row],[Order Date]],"mmmm")</f>
        <v>January</v>
      </c>
      <c r="Q205" t="str">
        <f>TEXT(Table1[[#This Row],[Order Date]],"mm")</f>
        <v>01</v>
      </c>
      <c r="R205" s="2">
        <f>Table1[[#This Row],[Profit]]/Table1[[#This Row],[Sales]]</f>
        <v>7.1732296255243508E-2</v>
      </c>
      <c r="S205" t="str">
        <f t="shared" si="3"/>
        <v>High (21-30%)</v>
      </c>
    </row>
    <row r="206" spans="1:19" x14ac:dyDescent="0.2">
      <c r="A206" t="s">
        <v>604</v>
      </c>
      <c r="B206" s="3" t="s">
        <v>605</v>
      </c>
      <c r="C206" t="s">
        <v>149</v>
      </c>
      <c r="D206" t="s">
        <v>17</v>
      </c>
      <c r="E206" t="s">
        <v>97</v>
      </c>
      <c r="F206" t="s">
        <v>67</v>
      </c>
      <c r="G206" t="s">
        <v>115</v>
      </c>
      <c r="H206" t="s">
        <v>178</v>
      </c>
      <c r="I206" s="4">
        <v>8416.24</v>
      </c>
      <c r="J206">
        <v>8</v>
      </c>
      <c r="K206" s="2">
        <v>0.25</v>
      </c>
      <c r="L206" s="4">
        <v>-1112.45</v>
      </c>
      <c r="M206" t="s">
        <v>31</v>
      </c>
      <c r="N206" t="s">
        <v>32</v>
      </c>
      <c r="O206">
        <f>YEAR(Table1[[#This Row],[Order Date]])</f>
        <v>2025</v>
      </c>
      <c r="P206" t="str">
        <f>TEXT(Table1[[#This Row],[Order Date]],"mmmm")</f>
        <v>November</v>
      </c>
      <c r="Q206" t="str">
        <f>TEXT(Table1[[#This Row],[Order Date]],"mm")</f>
        <v>11</v>
      </c>
      <c r="R206" s="2">
        <f>Table1[[#This Row],[Profit]]/Table1[[#This Row],[Sales]]</f>
        <v>-0.13217897778580459</v>
      </c>
      <c r="S206" t="str">
        <f t="shared" si="3"/>
        <v>High (21-30%)</v>
      </c>
    </row>
    <row r="207" spans="1:19" x14ac:dyDescent="0.2">
      <c r="A207" t="s">
        <v>606</v>
      </c>
      <c r="B207" s="3" t="s">
        <v>607</v>
      </c>
      <c r="C207" t="s">
        <v>608</v>
      </c>
      <c r="D207" t="s">
        <v>27</v>
      </c>
      <c r="E207" t="s">
        <v>43</v>
      </c>
      <c r="F207" t="s">
        <v>55</v>
      </c>
      <c r="G207" t="s">
        <v>56</v>
      </c>
      <c r="H207" t="s">
        <v>57</v>
      </c>
      <c r="I207" s="4">
        <v>192.26</v>
      </c>
      <c r="J207">
        <v>1</v>
      </c>
      <c r="K207" s="2">
        <v>0.15</v>
      </c>
      <c r="L207" s="4">
        <v>18.86</v>
      </c>
      <c r="M207" t="s">
        <v>38</v>
      </c>
      <c r="N207" t="s">
        <v>76</v>
      </c>
      <c r="O207">
        <f>YEAR(Table1[[#This Row],[Order Date]])</f>
        <v>2025</v>
      </c>
      <c r="P207" t="str">
        <f>TEXT(Table1[[#This Row],[Order Date]],"mmmm")</f>
        <v>December</v>
      </c>
      <c r="Q207" t="str">
        <f>TEXT(Table1[[#This Row],[Order Date]],"mm")</f>
        <v>12</v>
      </c>
      <c r="R207" s="2">
        <f>Table1[[#This Row],[Profit]]/Table1[[#This Row],[Sales]]</f>
        <v>9.8096327889316548E-2</v>
      </c>
      <c r="S207" t="str">
        <f t="shared" si="3"/>
        <v>Medium (11-20%)</v>
      </c>
    </row>
    <row r="208" spans="1:19" x14ac:dyDescent="0.2">
      <c r="A208" t="s">
        <v>609</v>
      </c>
      <c r="B208" s="3" t="s">
        <v>610</v>
      </c>
      <c r="C208" t="s">
        <v>450</v>
      </c>
      <c r="D208" t="s">
        <v>48</v>
      </c>
      <c r="E208" t="s">
        <v>73</v>
      </c>
      <c r="F208" t="s">
        <v>55</v>
      </c>
      <c r="G208" t="s">
        <v>74</v>
      </c>
      <c r="H208" t="s">
        <v>133</v>
      </c>
      <c r="I208" s="4">
        <v>1135.6500000000001</v>
      </c>
      <c r="J208">
        <v>1</v>
      </c>
      <c r="K208" s="2">
        <v>0.2</v>
      </c>
      <c r="L208" s="4">
        <v>142.78</v>
      </c>
      <c r="M208" t="s">
        <v>143</v>
      </c>
      <c r="N208" t="s">
        <v>39</v>
      </c>
      <c r="O208">
        <f>YEAR(Table1[[#This Row],[Order Date]])</f>
        <v>2025</v>
      </c>
      <c r="P208" t="str">
        <f>TEXT(Table1[[#This Row],[Order Date]],"mmmm")</f>
        <v>January</v>
      </c>
      <c r="Q208" t="str">
        <f>TEXT(Table1[[#This Row],[Order Date]],"mm")</f>
        <v>01</v>
      </c>
      <c r="R208" s="2">
        <f>Table1[[#This Row],[Profit]]/Table1[[#This Row],[Sales]]</f>
        <v>0.12572535552326861</v>
      </c>
      <c r="S208" t="str">
        <f t="shared" si="3"/>
        <v>Medium (11-20%)</v>
      </c>
    </row>
    <row r="209" spans="1:19" x14ac:dyDescent="0.2">
      <c r="A209" t="s">
        <v>611</v>
      </c>
      <c r="B209" s="3" t="s">
        <v>612</v>
      </c>
      <c r="C209" t="s">
        <v>346</v>
      </c>
      <c r="D209" t="s">
        <v>27</v>
      </c>
      <c r="E209" t="s">
        <v>43</v>
      </c>
      <c r="F209" t="s">
        <v>19</v>
      </c>
      <c r="G209" t="s">
        <v>29</v>
      </c>
      <c r="H209" t="s">
        <v>199</v>
      </c>
      <c r="I209" s="4">
        <v>3047.36</v>
      </c>
      <c r="J209">
        <v>4</v>
      </c>
      <c r="K209" s="2">
        <v>0.3</v>
      </c>
      <c r="L209" s="4">
        <v>-3.1</v>
      </c>
      <c r="M209" t="s">
        <v>38</v>
      </c>
      <c r="N209" t="s">
        <v>23</v>
      </c>
      <c r="O209">
        <f>YEAR(Table1[[#This Row],[Order Date]])</f>
        <v>2025</v>
      </c>
      <c r="P209" t="str">
        <f>TEXT(Table1[[#This Row],[Order Date]],"mmmm")</f>
        <v>November</v>
      </c>
      <c r="Q209" t="str">
        <f>TEXT(Table1[[#This Row],[Order Date]],"mm")</f>
        <v>11</v>
      </c>
      <c r="R209" s="2">
        <f>Table1[[#This Row],[Profit]]/Table1[[#This Row],[Sales]]</f>
        <v>-1.0172739682873045E-3</v>
      </c>
      <c r="S209" t="str">
        <f t="shared" si="3"/>
        <v>High (21-30%)</v>
      </c>
    </row>
    <row r="210" spans="1:19" x14ac:dyDescent="0.2">
      <c r="A210" t="s">
        <v>613</v>
      </c>
      <c r="B210" s="3" t="s">
        <v>600</v>
      </c>
      <c r="C210" t="s">
        <v>275</v>
      </c>
      <c r="D210" t="s">
        <v>27</v>
      </c>
      <c r="E210" t="s">
        <v>43</v>
      </c>
      <c r="F210" t="s">
        <v>55</v>
      </c>
      <c r="G210" t="s">
        <v>98</v>
      </c>
      <c r="H210" t="s">
        <v>154</v>
      </c>
      <c r="I210" s="4">
        <v>2869.83</v>
      </c>
      <c r="J210">
        <v>3</v>
      </c>
      <c r="K210" s="2">
        <v>0</v>
      </c>
      <c r="L210" s="4">
        <v>852.14</v>
      </c>
      <c r="M210" t="s">
        <v>44</v>
      </c>
      <c r="N210" t="s">
        <v>23</v>
      </c>
      <c r="O210">
        <f>YEAR(Table1[[#This Row],[Order Date]])</f>
        <v>2025</v>
      </c>
      <c r="P210" t="str">
        <f>TEXT(Table1[[#This Row],[Order Date]],"mmmm")</f>
        <v>October</v>
      </c>
      <c r="Q210" t="str">
        <f>TEXT(Table1[[#This Row],[Order Date]],"mm")</f>
        <v>10</v>
      </c>
      <c r="R210" s="2">
        <f>Table1[[#This Row],[Profit]]/Table1[[#This Row],[Sales]]</f>
        <v>0.29693048020266011</v>
      </c>
      <c r="S210" t="str">
        <f t="shared" si="3"/>
        <v>No Discount</v>
      </c>
    </row>
    <row r="211" spans="1:19" x14ac:dyDescent="0.2">
      <c r="A211" t="s">
        <v>614</v>
      </c>
      <c r="B211" s="3" t="s">
        <v>615</v>
      </c>
      <c r="C211" t="s">
        <v>128</v>
      </c>
      <c r="D211" t="s">
        <v>137</v>
      </c>
      <c r="E211" t="s">
        <v>242</v>
      </c>
      <c r="F211" t="s">
        <v>67</v>
      </c>
      <c r="G211" t="s">
        <v>85</v>
      </c>
      <c r="H211" t="s">
        <v>86</v>
      </c>
      <c r="I211" s="4">
        <v>3757.5</v>
      </c>
      <c r="J211">
        <v>9</v>
      </c>
      <c r="K211" s="2">
        <v>0.15</v>
      </c>
      <c r="L211" s="4">
        <v>509.53</v>
      </c>
      <c r="M211" t="s">
        <v>87</v>
      </c>
      <c r="N211" t="s">
        <v>76</v>
      </c>
      <c r="O211">
        <f>YEAR(Table1[[#This Row],[Order Date]])</f>
        <v>2024</v>
      </c>
      <c r="P211" t="str">
        <f>TEXT(Table1[[#This Row],[Order Date]],"mmmm")</f>
        <v>July</v>
      </c>
      <c r="Q211" t="str">
        <f>TEXT(Table1[[#This Row],[Order Date]],"mm")</f>
        <v>07</v>
      </c>
      <c r="R211" s="2">
        <f>Table1[[#This Row],[Profit]]/Table1[[#This Row],[Sales]]</f>
        <v>0.13560345974717231</v>
      </c>
      <c r="S211" t="str">
        <f t="shared" si="3"/>
        <v>Medium (11-20%)</v>
      </c>
    </row>
    <row r="212" spans="1:19" x14ac:dyDescent="0.2">
      <c r="A212" t="s">
        <v>616</v>
      </c>
      <c r="B212" s="3" t="s">
        <v>617</v>
      </c>
      <c r="C212" t="s">
        <v>618</v>
      </c>
      <c r="D212" t="s">
        <v>137</v>
      </c>
      <c r="E212" t="s">
        <v>242</v>
      </c>
      <c r="F212" t="s">
        <v>67</v>
      </c>
      <c r="G212" t="s">
        <v>85</v>
      </c>
      <c r="H212" t="s">
        <v>125</v>
      </c>
      <c r="I212" s="4">
        <v>2536.1999999999998</v>
      </c>
      <c r="J212">
        <v>10</v>
      </c>
      <c r="K212" s="2">
        <v>0</v>
      </c>
      <c r="L212" s="4">
        <v>872.82</v>
      </c>
      <c r="M212" t="s">
        <v>117</v>
      </c>
      <c r="N212" t="s">
        <v>23</v>
      </c>
      <c r="O212">
        <f>YEAR(Table1[[#This Row],[Order Date]])</f>
        <v>2025</v>
      </c>
      <c r="P212" t="str">
        <f>TEXT(Table1[[#This Row],[Order Date]],"mmmm")</f>
        <v>February</v>
      </c>
      <c r="Q212" t="str">
        <f>TEXT(Table1[[#This Row],[Order Date]],"mm")</f>
        <v>02</v>
      </c>
      <c r="R212" s="2">
        <f>Table1[[#This Row],[Profit]]/Table1[[#This Row],[Sales]]</f>
        <v>0.34414478353442163</v>
      </c>
      <c r="S212" t="str">
        <f t="shared" si="3"/>
        <v>No Discount</v>
      </c>
    </row>
    <row r="213" spans="1:19" x14ac:dyDescent="0.2">
      <c r="A213" t="s">
        <v>619</v>
      </c>
      <c r="B213" s="3" t="s">
        <v>620</v>
      </c>
      <c r="C213" t="s">
        <v>319</v>
      </c>
      <c r="D213" t="s">
        <v>137</v>
      </c>
      <c r="E213" t="s">
        <v>242</v>
      </c>
      <c r="F213" t="s">
        <v>19</v>
      </c>
      <c r="G213" t="s">
        <v>36</v>
      </c>
      <c r="H213" t="s">
        <v>111</v>
      </c>
      <c r="I213" s="4">
        <v>368.8</v>
      </c>
      <c r="J213">
        <v>2</v>
      </c>
      <c r="K213" s="2">
        <v>0</v>
      </c>
      <c r="L213" s="4">
        <v>85.12</v>
      </c>
      <c r="M213" t="s">
        <v>107</v>
      </c>
      <c r="N213" t="s">
        <v>39</v>
      </c>
      <c r="O213">
        <f>YEAR(Table1[[#This Row],[Order Date]])</f>
        <v>2024</v>
      </c>
      <c r="P213" t="str">
        <f>TEXT(Table1[[#This Row],[Order Date]],"mmmm")</f>
        <v>February</v>
      </c>
      <c r="Q213" t="str">
        <f>TEXT(Table1[[#This Row],[Order Date]],"mm")</f>
        <v>02</v>
      </c>
      <c r="R213" s="2">
        <f>Table1[[#This Row],[Profit]]/Table1[[#This Row],[Sales]]</f>
        <v>0.23080260303687636</v>
      </c>
      <c r="S213" t="str">
        <f t="shared" si="3"/>
        <v>No Discount</v>
      </c>
    </row>
    <row r="214" spans="1:19" x14ac:dyDescent="0.2">
      <c r="A214" t="s">
        <v>621</v>
      </c>
      <c r="B214" s="3" t="s">
        <v>622</v>
      </c>
      <c r="C214" t="s">
        <v>189</v>
      </c>
      <c r="D214" t="s">
        <v>137</v>
      </c>
      <c r="E214" t="s">
        <v>160</v>
      </c>
      <c r="F214" t="s">
        <v>19</v>
      </c>
      <c r="G214" t="s">
        <v>36</v>
      </c>
      <c r="H214" t="s">
        <v>37</v>
      </c>
      <c r="I214" s="4">
        <v>412.71</v>
      </c>
      <c r="J214">
        <v>3</v>
      </c>
      <c r="K214" s="2">
        <v>0.15</v>
      </c>
      <c r="L214" s="4">
        <v>-8.39</v>
      </c>
      <c r="M214" t="s">
        <v>143</v>
      </c>
      <c r="N214" t="s">
        <v>39</v>
      </c>
      <c r="O214">
        <f>YEAR(Table1[[#This Row],[Order Date]])</f>
        <v>2025</v>
      </c>
      <c r="P214" t="str">
        <f>TEXT(Table1[[#This Row],[Order Date]],"mmmm")</f>
        <v>August</v>
      </c>
      <c r="Q214" t="str">
        <f>TEXT(Table1[[#This Row],[Order Date]],"mm")</f>
        <v>08</v>
      </c>
      <c r="R214" s="2">
        <f>Table1[[#This Row],[Profit]]/Table1[[#This Row],[Sales]]</f>
        <v>-2.0329044607593712E-2</v>
      </c>
      <c r="S214" t="str">
        <f t="shared" si="3"/>
        <v>Medium (11-20%)</v>
      </c>
    </row>
    <row r="215" spans="1:19" x14ac:dyDescent="0.2">
      <c r="A215" t="s">
        <v>623</v>
      </c>
      <c r="B215" s="3" t="s">
        <v>624</v>
      </c>
      <c r="C215" t="s">
        <v>625</v>
      </c>
      <c r="D215" t="s">
        <v>27</v>
      </c>
      <c r="E215" t="s">
        <v>124</v>
      </c>
      <c r="F215" t="s">
        <v>55</v>
      </c>
      <c r="G215" t="s">
        <v>98</v>
      </c>
      <c r="H215" t="s">
        <v>154</v>
      </c>
      <c r="I215" s="4">
        <v>307.75</v>
      </c>
      <c r="J215">
        <v>5</v>
      </c>
      <c r="K215" s="2">
        <v>0.05</v>
      </c>
      <c r="L215" s="4">
        <v>95.63</v>
      </c>
      <c r="M215" t="s">
        <v>31</v>
      </c>
      <c r="N215" t="s">
        <v>39</v>
      </c>
      <c r="O215">
        <f>YEAR(Table1[[#This Row],[Order Date]])</f>
        <v>2024</v>
      </c>
      <c r="P215" t="str">
        <f>TEXT(Table1[[#This Row],[Order Date]],"mmmm")</f>
        <v>August</v>
      </c>
      <c r="Q215" t="str">
        <f>TEXT(Table1[[#This Row],[Order Date]],"mm")</f>
        <v>08</v>
      </c>
      <c r="R215" s="2">
        <f>Table1[[#This Row],[Profit]]/Table1[[#This Row],[Sales]]</f>
        <v>0.31073923639317624</v>
      </c>
      <c r="S215" t="str">
        <f t="shared" si="3"/>
        <v>Low (1-10%)</v>
      </c>
    </row>
    <row r="216" spans="1:19" x14ac:dyDescent="0.2">
      <c r="A216" t="s">
        <v>626</v>
      </c>
      <c r="B216" s="3" t="s">
        <v>627</v>
      </c>
      <c r="C216" t="s">
        <v>218</v>
      </c>
      <c r="D216" t="s">
        <v>17</v>
      </c>
      <c r="E216" t="s">
        <v>54</v>
      </c>
      <c r="F216" t="s">
        <v>19</v>
      </c>
      <c r="G216" t="s">
        <v>20</v>
      </c>
      <c r="H216" t="s">
        <v>347</v>
      </c>
      <c r="I216" s="4">
        <v>1233.05</v>
      </c>
      <c r="J216">
        <v>5</v>
      </c>
      <c r="K216" s="2">
        <v>0.15</v>
      </c>
      <c r="L216" s="4">
        <v>352.36</v>
      </c>
      <c r="M216" t="s">
        <v>195</v>
      </c>
      <c r="N216" t="s">
        <v>23</v>
      </c>
      <c r="O216">
        <f>YEAR(Table1[[#This Row],[Order Date]])</f>
        <v>2025</v>
      </c>
      <c r="P216" t="str">
        <f>TEXT(Table1[[#This Row],[Order Date]],"mmmm")</f>
        <v>June</v>
      </c>
      <c r="Q216" t="str">
        <f>TEXT(Table1[[#This Row],[Order Date]],"mm")</f>
        <v>06</v>
      </c>
      <c r="R216" s="2">
        <f>Table1[[#This Row],[Profit]]/Table1[[#This Row],[Sales]]</f>
        <v>0.28576294554154336</v>
      </c>
      <c r="S216" t="str">
        <f t="shared" si="3"/>
        <v>Medium (11-20%)</v>
      </c>
    </row>
    <row r="217" spans="1:19" x14ac:dyDescent="0.2">
      <c r="A217" t="s">
        <v>628</v>
      </c>
      <c r="B217" s="3" t="s">
        <v>629</v>
      </c>
      <c r="C217" t="s">
        <v>630</v>
      </c>
      <c r="D217" t="s">
        <v>137</v>
      </c>
      <c r="E217" t="s">
        <v>242</v>
      </c>
      <c r="F217" t="s">
        <v>19</v>
      </c>
      <c r="G217" t="s">
        <v>36</v>
      </c>
      <c r="H217" t="s">
        <v>111</v>
      </c>
      <c r="I217" s="4">
        <v>2447.1999999999998</v>
      </c>
      <c r="J217">
        <v>7</v>
      </c>
      <c r="K217" s="2">
        <v>0.25</v>
      </c>
      <c r="L217" s="4">
        <v>-178.09</v>
      </c>
      <c r="M217" t="s">
        <v>44</v>
      </c>
      <c r="N217" t="s">
        <v>32</v>
      </c>
      <c r="O217">
        <f>YEAR(Table1[[#This Row],[Order Date]])</f>
        <v>2024</v>
      </c>
      <c r="P217" t="str">
        <f>TEXT(Table1[[#This Row],[Order Date]],"mmmm")</f>
        <v>September</v>
      </c>
      <c r="Q217" t="str">
        <f>TEXT(Table1[[#This Row],[Order Date]],"mm")</f>
        <v>09</v>
      </c>
      <c r="R217" s="2">
        <f>Table1[[#This Row],[Profit]]/Table1[[#This Row],[Sales]]</f>
        <v>-7.2772965021248776E-2</v>
      </c>
      <c r="S217" t="str">
        <f t="shared" si="3"/>
        <v>High (21-30%)</v>
      </c>
    </row>
    <row r="218" spans="1:19" x14ac:dyDescent="0.2">
      <c r="A218" t="s">
        <v>631</v>
      </c>
      <c r="B218" s="3" t="s">
        <v>632</v>
      </c>
      <c r="C218" t="s">
        <v>370</v>
      </c>
      <c r="D218" t="s">
        <v>48</v>
      </c>
      <c r="E218" t="s">
        <v>73</v>
      </c>
      <c r="F218" t="s">
        <v>67</v>
      </c>
      <c r="G218" t="s">
        <v>85</v>
      </c>
      <c r="H218" t="s">
        <v>125</v>
      </c>
      <c r="I218" s="4">
        <v>1800.32</v>
      </c>
      <c r="J218">
        <v>8</v>
      </c>
      <c r="K218" s="2">
        <v>0.25</v>
      </c>
      <c r="L218" s="4">
        <v>48.55</v>
      </c>
      <c r="M218" t="s">
        <v>22</v>
      </c>
      <c r="N218" t="s">
        <v>39</v>
      </c>
      <c r="O218">
        <f>YEAR(Table1[[#This Row],[Order Date]])</f>
        <v>2025</v>
      </c>
      <c r="P218" t="str">
        <f>TEXT(Table1[[#This Row],[Order Date]],"mmmm")</f>
        <v>April</v>
      </c>
      <c r="Q218" t="str">
        <f>TEXT(Table1[[#This Row],[Order Date]],"mm")</f>
        <v>04</v>
      </c>
      <c r="R218" s="2">
        <f>Table1[[#This Row],[Profit]]/Table1[[#This Row],[Sales]]</f>
        <v>2.6967428012797723E-2</v>
      </c>
      <c r="S218" t="str">
        <f t="shared" si="3"/>
        <v>High (21-30%)</v>
      </c>
    </row>
    <row r="219" spans="1:19" x14ac:dyDescent="0.2">
      <c r="A219" t="s">
        <v>633</v>
      </c>
      <c r="B219" s="3" t="s">
        <v>634</v>
      </c>
      <c r="C219" t="s">
        <v>566</v>
      </c>
      <c r="D219" t="s">
        <v>48</v>
      </c>
      <c r="E219" t="s">
        <v>73</v>
      </c>
      <c r="F219" t="s">
        <v>67</v>
      </c>
      <c r="G219" t="s">
        <v>68</v>
      </c>
      <c r="H219" t="s">
        <v>382</v>
      </c>
      <c r="I219" s="4">
        <v>4080.8</v>
      </c>
      <c r="J219">
        <v>10</v>
      </c>
      <c r="K219" s="2">
        <v>0.3</v>
      </c>
      <c r="L219" s="4">
        <v>-362.53</v>
      </c>
      <c r="M219" t="s">
        <v>44</v>
      </c>
      <c r="N219" t="s">
        <v>23</v>
      </c>
      <c r="O219">
        <f>YEAR(Table1[[#This Row],[Order Date]])</f>
        <v>2024</v>
      </c>
      <c r="P219" t="str">
        <f>TEXT(Table1[[#This Row],[Order Date]],"mmmm")</f>
        <v>November</v>
      </c>
      <c r="Q219" t="str">
        <f>TEXT(Table1[[#This Row],[Order Date]],"mm")</f>
        <v>11</v>
      </c>
      <c r="R219" s="2">
        <f>Table1[[#This Row],[Profit]]/Table1[[#This Row],[Sales]]</f>
        <v>-8.8837972946481075E-2</v>
      </c>
      <c r="S219" t="str">
        <f t="shared" si="3"/>
        <v>High (21-30%)</v>
      </c>
    </row>
    <row r="220" spans="1:19" x14ac:dyDescent="0.2">
      <c r="A220" t="s">
        <v>635</v>
      </c>
      <c r="B220" s="3" t="s">
        <v>636</v>
      </c>
      <c r="C220" t="s">
        <v>637</v>
      </c>
      <c r="D220" t="s">
        <v>17</v>
      </c>
      <c r="E220" t="s">
        <v>80</v>
      </c>
      <c r="F220" t="s">
        <v>67</v>
      </c>
      <c r="G220" t="s">
        <v>85</v>
      </c>
      <c r="H220" t="s">
        <v>125</v>
      </c>
      <c r="I220" s="4">
        <v>6652.98</v>
      </c>
      <c r="J220">
        <v>9</v>
      </c>
      <c r="K220" s="2">
        <v>0</v>
      </c>
      <c r="L220" s="4">
        <v>555.32000000000005</v>
      </c>
      <c r="M220" t="s">
        <v>22</v>
      </c>
      <c r="N220" t="s">
        <v>32</v>
      </c>
      <c r="O220">
        <f>YEAR(Table1[[#This Row],[Order Date]])</f>
        <v>2025</v>
      </c>
      <c r="P220" t="str">
        <f>TEXT(Table1[[#This Row],[Order Date]],"mmmm")</f>
        <v>January</v>
      </c>
      <c r="Q220" t="str">
        <f>TEXT(Table1[[#This Row],[Order Date]],"mm")</f>
        <v>01</v>
      </c>
      <c r="R220" s="2">
        <f>Table1[[#This Row],[Profit]]/Table1[[#This Row],[Sales]]</f>
        <v>8.3469362601420724E-2</v>
      </c>
      <c r="S220" t="str">
        <f t="shared" si="3"/>
        <v>No Discount</v>
      </c>
    </row>
    <row r="221" spans="1:19" x14ac:dyDescent="0.2">
      <c r="A221" t="s">
        <v>638</v>
      </c>
      <c r="B221" s="3" t="s">
        <v>639</v>
      </c>
      <c r="C221" t="s">
        <v>640</v>
      </c>
      <c r="D221" t="s">
        <v>48</v>
      </c>
      <c r="E221" t="s">
        <v>49</v>
      </c>
      <c r="F221" t="s">
        <v>67</v>
      </c>
      <c r="G221" t="s">
        <v>85</v>
      </c>
      <c r="H221" t="s">
        <v>125</v>
      </c>
      <c r="I221" s="4">
        <v>3054.48</v>
      </c>
      <c r="J221">
        <v>4</v>
      </c>
      <c r="K221" s="2">
        <v>0</v>
      </c>
      <c r="L221" s="4">
        <v>656.2</v>
      </c>
      <c r="M221" t="s">
        <v>117</v>
      </c>
      <c r="N221" t="s">
        <v>39</v>
      </c>
      <c r="O221">
        <f>YEAR(Table1[[#This Row],[Order Date]])</f>
        <v>2025</v>
      </c>
      <c r="P221" t="str">
        <f>TEXT(Table1[[#This Row],[Order Date]],"mmmm")</f>
        <v>November</v>
      </c>
      <c r="Q221" t="str">
        <f>TEXT(Table1[[#This Row],[Order Date]],"mm")</f>
        <v>11</v>
      </c>
      <c r="R221" s="2">
        <f>Table1[[#This Row],[Profit]]/Table1[[#This Row],[Sales]]</f>
        <v>0.21483198449490587</v>
      </c>
      <c r="S221" t="str">
        <f t="shared" si="3"/>
        <v>No Discount</v>
      </c>
    </row>
    <row r="222" spans="1:19" x14ac:dyDescent="0.2">
      <c r="A222" t="s">
        <v>641</v>
      </c>
      <c r="B222" s="3" t="s">
        <v>642</v>
      </c>
      <c r="C222" t="s">
        <v>83</v>
      </c>
      <c r="D222" t="s">
        <v>17</v>
      </c>
      <c r="E222" t="s">
        <v>80</v>
      </c>
      <c r="F222" t="s">
        <v>67</v>
      </c>
      <c r="G222" t="s">
        <v>85</v>
      </c>
      <c r="H222" t="s">
        <v>125</v>
      </c>
      <c r="I222" s="4">
        <v>6696.54</v>
      </c>
      <c r="J222">
        <v>6</v>
      </c>
      <c r="K222" s="2">
        <v>0</v>
      </c>
      <c r="L222" s="4">
        <v>1890.59</v>
      </c>
      <c r="M222" t="s">
        <v>107</v>
      </c>
      <c r="N222" t="s">
        <v>39</v>
      </c>
      <c r="O222">
        <f>YEAR(Table1[[#This Row],[Order Date]])</f>
        <v>2025</v>
      </c>
      <c r="P222" t="str">
        <f>TEXT(Table1[[#This Row],[Order Date]],"mmmm")</f>
        <v>November</v>
      </c>
      <c r="Q222" t="str">
        <f>TEXT(Table1[[#This Row],[Order Date]],"mm")</f>
        <v>11</v>
      </c>
      <c r="R222" s="2">
        <f>Table1[[#This Row],[Profit]]/Table1[[#This Row],[Sales]]</f>
        <v>0.28232340880514412</v>
      </c>
      <c r="S222" t="str">
        <f t="shared" si="3"/>
        <v>No Discount</v>
      </c>
    </row>
    <row r="223" spans="1:19" x14ac:dyDescent="0.2">
      <c r="A223" t="s">
        <v>643</v>
      </c>
      <c r="B223" s="3" t="s">
        <v>644</v>
      </c>
      <c r="C223" t="s">
        <v>504</v>
      </c>
      <c r="D223" t="s">
        <v>137</v>
      </c>
      <c r="E223" t="s">
        <v>142</v>
      </c>
      <c r="F223" t="s">
        <v>67</v>
      </c>
      <c r="G223" t="s">
        <v>85</v>
      </c>
      <c r="H223" t="s">
        <v>125</v>
      </c>
      <c r="I223" s="4">
        <v>3232.7</v>
      </c>
      <c r="J223">
        <v>10</v>
      </c>
      <c r="K223" s="2">
        <v>0.3</v>
      </c>
      <c r="L223" s="4">
        <v>100.75</v>
      </c>
      <c r="M223" t="s">
        <v>87</v>
      </c>
      <c r="N223" t="s">
        <v>23</v>
      </c>
      <c r="O223">
        <f>YEAR(Table1[[#This Row],[Order Date]])</f>
        <v>2025</v>
      </c>
      <c r="P223" t="str">
        <f>TEXT(Table1[[#This Row],[Order Date]],"mmmm")</f>
        <v>October</v>
      </c>
      <c r="Q223" t="str">
        <f>TEXT(Table1[[#This Row],[Order Date]],"mm")</f>
        <v>10</v>
      </c>
      <c r="R223" s="2">
        <f>Table1[[#This Row],[Profit]]/Table1[[#This Row],[Sales]]</f>
        <v>3.1165898474959014E-2</v>
      </c>
      <c r="S223" t="str">
        <f t="shared" si="3"/>
        <v>High (21-30%)</v>
      </c>
    </row>
    <row r="224" spans="1:19" x14ac:dyDescent="0.2">
      <c r="A224" t="s">
        <v>645</v>
      </c>
      <c r="B224" s="3" t="s">
        <v>558</v>
      </c>
      <c r="C224" t="s">
        <v>646</v>
      </c>
      <c r="D224" t="s">
        <v>137</v>
      </c>
      <c r="E224" t="s">
        <v>242</v>
      </c>
      <c r="F224" t="s">
        <v>67</v>
      </c>
      <c r="G224" t="s">
        <v>85</v>
      </c>
      <c r="H224" t="s">
        <v>253</v>
      </c>
      <c r="I224" s="4">
        <v>4505.96</v>
      </c>
      <c r="J224">
        <v>4</v>
      </c>
      <c r="K224" s="2">
        <v>0.05</v>
      </c>
      <c r="L224" s="4">
        <v>826.72</v>
      </c>
      <c r="M224" t="s">
        <v>107</v>
      </c>
      <c r="N224" t="s">
        <v>76</v>
      </c>
      <c r="O224">
        <f>YEAR(Table1[[#This Row],[Order Date]])</f>
        <v>2025</v>
      </c>
      <c r="P224" t="str">
        <f>TEXT(Table1[[#This Row],[Order Date]],"mmmm")</f>
        <v>March</v>
      </c>
      <c r="Q224" t="str">
        <f>TEXT(Table1[[#This Row],[Order Date]],"mm")</f>
        <v>03</v>
      </c>
      <c r="R224" s="2">
        <f>Table1[[#This Row],[Profit]]/Table1[[#This Row],[Sales]]</f>
        <v>0.18347255634759296</v>
      </c>
      <c r="S224" t="str">
        <f t="shared" si="3"/>
        <v>Low (1-10%)</v>
      </c>
    </row>
    <row r="225" spans="1:19" x14ac:dyDescent="0.2">
      <c r="A225" t="s">
        <v>647</v>
      </c>
      <c r="B225" s="3" t="s">
        <v>475</v>
      </c>
      <c r="C225" t="s">
        <v>491</v>
      </c>
      <c r="D225" t="s">
        <v>48</v>
      </c>
      <c r="E225" t="s">
        <v>49</v>
      </c>
      <c r="F225" t="s">
        <v>19</v>
      </c>
      <c r="G225" t="s">
        <v>29</v>
      </c>
      <c r="H225" t="s">
        <v>50</v>
      </c>
      <c r="I225" s="4">
        <v>3291.15</v>
      </c>
      <c r="J225">
        <v>5</v>
      </c>
      <c r="K225" s="2">
        <v>0.25</v>
      </c>
      <c r="L225" s="4">
        <v>113.67</v>
      </c>
      <c r="M225" t="s">
        <v>63</v>
      </c>
      <c r="N225" t="s">
        <v>76</v>
      </c>
      <c r="O225">
        <f>YEAR(Table1[[#This Row],[Order Date]])</f>
        <v>2024</v>
      </c>
      <c r="P225" t="str">
        <f>TEXT(Table1[[#This Row],[Order Date]],"mmmm")</f>
        <v>February</v>
      </c>
      <c r="Q225" t="str">
        <f>TEXT(Table1[[#This Row],[Order Date]],"mm")</f>
        <v>02</v>
      </c>
      <c r="R225" s="2">
        <f>Table1[[#This Row],[Profit]]/Table1[[#This Row],[Sales]]</f>
        <v>3.4538079394740441E-2</v>
      </c>
      <c r="S225" t="str">
        <f t="shared" si="3"/>
        <v>High (21-30%)</v>
      </c>
    </row>
    <row r="226" spans="1:19" x14ac:dyDescent="0.2">
      <c r="A226" t="s">
        <v>648</v>
      </c>
      <c r="B226" s="3" t="s">
        <v>649</v>
      </c>
      <c r="C226" t="s">
        <v>442</v>
      </c>
      <c r="D226" t="s">
        <v>17</v>
      </c>
      <c r="E226" t="s">
        <v>18</v>
      </c>
      <c r="F226" t="s">
        <v>55</v>
      </c>
      <c r="G226" t="s">
        <v>74</v>
      </c>
      <c r="H226" t="s">
        <v>133</v>
      </c>
      <c r="I226" s="4">
        <v>1311.12</v>
      </c>
      <c r="J226">
        <v>8</v>
      </c>
      <c r="K226" s="2">
        <v>0</v>
      </c>
      <c r="L226" s="4">
        <v>200.65</v>
      </c>
      <c r="M226" t="s">
        <v>22</v>
      </c>
      <c r="N226" t="s">
        <v>39</v>
      </c>
      <c r="O226">
        <f>YEAR(Table1[[#This Row],[Order Date]])</f>
        <v>2025</v>
      </c>
      <c r="P226" t="str">
        <f>TEXT(Table1[[#This Row],[Order Date]],"mmmm")</f>
        <v>June</v>
      </c>
      <c r="Q226" t="str">
        <f>TEXT(Table1[[#This Row],[Order Date]],"mm")</f>
        <v>06</v>
      </c>
      <c r="R226" s="2">
        <f>Table1[[#This Row],[Profit]]/Table1[[#This Row],[Sales]]</f>
        <v>0.15303709805357255</v>
      </c>
      <c r="S226" t="str">
        <f t="shared" si="3"/>
        <v>No Discount</v>
      </c>
    </row>
    <row r="227" spans="1:19" x14ac:dyDescent="0.2">
      <c r="A227" t="s">
        <v>650</v>
      </c>
      <c r="B227" s="3" t="s">
        <v>651</v>
      </c>
      <c r="C227" t="s">
        <v>652</v>
      </c>
      <c r="D227" t="s">
        <v>17</v>
      </c>
      <c r="E227" t="s">
        <v>18</v>
      </c>
      <c r="F227" t="s">
        <v>19</v>
      </c>
      <c r="G227" t="s">
        <v>20</v>
      </c>
      <c r="H227" t="s">
        <v>347</v>
      </c>
      <c r="I227" s="4">
        <v>9410.85</v>
      </c>
      <c r="J227">
        <v>9</v>
      </c>
      <c r="K227" s="2">
        <v>0.25</v>
      </c>
      <c r="L227" s="4">
        <v>-505.42</v>
      </c>
      <c r="M227" t="s">
        <v>22</v>
      </c>
      <c r="N227" t="s">
        <v>76</v>
      </c>
      <c r="O227">
        <f>YEAR(Table1[[#This Row],[Order Date]])</f>
        <v>2024</v>
      </c>
      <c r="P227" t="str">
        <f>TEXT(Table1[[#This Row],[Order Date]],"mmmm")</f>
        <v>September</v>
      </c>
      <c r="Q227" t="str">
        <f>TEXT(Table1[[#This Row],[Order Date]],"mm")</f>
        <v>09</v>
      </c>
      <c r="R227" s="2">
        <f>Table1[[#This Row],[Profit]]/Table1[[#This Row],[Sales]]</f>
        <v>-5.3706094561065156E-2</v>
      </c>
      <c r="S227" t="str">
        <f t="shared" si="3"/>
        <v>High (21-30%)</v>
      </c>
    </row>
    <row r="228" spans="1:19" x14ac:dyDescent="0.2">
      <c r="A228" t="s">
        <v>653</v>
      </c>
      <c r="B228" s="3" t="s">
        <v>654</v>
      </c>
      <c r="C228" t="s">
        <v>66</v>
      </c>
      <c r="D228" t="s">
        <v>48</v>
      </c>
      <c r="E228" t="s">
        <v>84</v>
      </c>
      <c r="F228" t="s">
        <v>67</v>
      </c>
      <c r="G228" t="s">
        <v>115</v>
      </c>
      <c r="H228" t="s">
        <v>212</v>
      </c>
      <c r="I228" s="4">
        <v>899.01</v>
      </c>
      <c r="J228">
        <v>9</v>
      </c>
      <c r="K228" s="2">
        <v>0</v>
      </c>
      <c r="L228" s="4">
        <v>201.68</v>
      </c>
      <c r="M228" t="s">
        <v>63</v>
      </c>
      <c r="N228" t="s">
        <v>32</v>
      </c>
      <c r="O228">
        <f>YEAR(Table1[[#This Row],[Order Date]])</f>
        <v>2025</v>
      </c>
      <c r="P228" t="str">
        <f>TEXT(Table1[[#This Row],[Order Date]],"mmmm")</f>
        <v>September</v>
      </c>
      <c r="Q228" t="str">
        <f>TEXT(Table1[[#This Row],[Order Date]],"mm")</f>
        <v>09</v>
      </c>
      <c r="R228" s="2">
        <f>Table1[[#This Row],[Profit]]/Table1[[#This Row],[Sales]]</f>
        <v>0.224335658112813</v>
      </c>
      <c r="S228" t="str">
        <f t="shared" si="3"/>
        <v>No Discount</v>
      </c>
    </row>
    <row r="229" spans="1:19" x14ac:dyDescent="0.2">
      <c r="A229" t="s">
        <v>655</v>
      </c>
      <c r="B229" s="3" t="s">
        <v>656</v>
      </c>
      <c r="C229" t="s">
        <v>172</v>
      </c>
      <c r="D229" t="s">
        <v>137</v>
      </c>
      <c r="E229" t="s">
        <v>138</v>
      </c>
      <c r="F229" t="s">
        <v>19</v>
      </c>
      <c r="G229" t="s">
        <v>20</v>
      </c>
      <c r="H229" t="s">
        <v>21</v>
      </c>
      <c r="I229" s="4">
        <v>2519.04</v>
      </c>
      <c r="J229">
        <v>6</v>
      </c>
      <c r="K229" s="2">
        <v>0</v>
      </c>
      <c r="L229" s="4">
        <v>427.19</v>
      </c>
      <c r="M229" t="s">
        <v>22</v>
      </c>
      <c r="N229" t="s">
        <v>76</v>
      </c>
      <c r="O229">
        <f>YEAR(Table1[[#This Row],[Order Date]])</f>
        <v>2025</v>
      </c>
      <c r="P229" t="str">
        <f>TEXT(Table1[[#This Row],[Order Date]],"mmmm")</f>
        <v>February</v>
      </c>
      <c r="Q229" t="str">
        <f>TEXT(Table1[[#This Row],[Order Date]],"mm")</f>
        <v>02</v>
      </c>
      <c r="R229" s="2">
        <f>Table1[[#This Row],[Profit]]/Table1[[#This Row],[Sales]]</f>
        <v>0.16958444486788618</v>
      </c>
      <c r="S229" t="str">
        <f t="shared" si="3"/>
        <v>No Discount</v>
      </c>
    </row>
    <row r="230" spans="1:19" x14ac:dyDescent="0.2">
      <c r="A230" t="s">
        <v>657</v>
      </c>
      <c r="B230" s="3" t="s">
        <v>658</v>
      </c>
      <c r="C230" t="s">
        <v>215</v>
      </c>
      <c r="D230" t="s">
        <v>48</v>
      </c>
      <c r="E230" t="s">
        <v>110</v>
      </c>
      <c r="F230" t="s">
        <v>67</v>
      </c>
      <c r="G230" t="s">
        <v>68</v>
      </c>
      <c r="H230" t="s">
        <v>69</v>
      </c>
      <c r="I230" s="4">
        <v>630.9</v>
      </c>
      <c r="J230">
        <v>5</v>
      </c>
      <c r="K230" s="2">
        <v>0.1</v>
      </c>
      <c r="L230" s="4">
        <v>213.13</v>
      </c>
      <c r="M230" t="s">
        <v>22</v>
      </c>
      <c r="N230" t="s">
        <v>39</v>
      </c>
      <c r="O230">
        <f>YEAR(Table1[[#This Row],[Order Date]])</f>
        <v>2024</v>
      </c>
      <c r="P230" t="str">
        <f>TEXT(Table1[[#This Row],[Order Date]],"mmmm")</f>
        <v>August</v>
      </c>
      <c r="Q230" t="str">
        <f>TEXT(Table1[[#This Row],[Order Date]],"mm")</f>
        <v>08</v>
      </c>
      <c r="R230" s="2">
        <f>Table1[[#This Row],[Profit]]/Table1[[#This Row],[Sales]]</f>
        <v>0.33781898874623556</v>
      </c>
      <c r="S230" t="str">
        <f t="shared" si="3"/>
        <v>Low (1-10%)</v>
      </c>
    </row>
    <row r="231" spans="1:19" x14ac:dyDescent="0.2">
      <c r="A231" t="s">
        <v>659</v>
      </c>
      <c r="B231" s="3" t="s">
        <v>660</v>
      </c>
      <c r="C231" t="s">
        <v>661</v>
      </c>
      <c r="D231" t="s">
        <v>17</v>
      </c>
      <c r="E231" t="s">
        <v>18</v>
      </c>
      <c r="F231" t="s">
        <v>19</v>
      </c>
      <c r="G231" t="s">
        <v>29</v>
      </c>
      <c r="H231" t="s">
        <v>30</v>
      </c>
      <c r="I231" s="4">
        <v>4326.28</v>
      </c>
      <c r="J231">
        <v>4</v>
      </c>
      <c r="K231" s="2">
        <v>0.3</v>
      </c>
      <c r="L231" s="4">
        <v>180.72</v>
      </c>
      <c r="M231" t="s">
        <v>87</v>
      </c>
      <c r="N231" t="s">
        <v>32</v>
      </c>
      <c r="O231">
        <f>YEAR(Table1[[#This Row],[Order Date]])</f>
        <v>2025</v>
      </c>
      <c r="P231" t="str">
        <f>TEXT(Table1[[#This Row],[Order Date]],"mmmm")</f>
        <v>April</v>
      </c>
      <c r="Q231" t="str">
        <f>TEXT(Table1[[#This Row],[Order Date]],"mm")</f>
        <v>04</v>
      </c>
      <c r="R231" s="2">
        <f>Table1[[#This Row],[Profit]]/Table1[[#This Row],[Sales]]</f>
        <v>4.17726083378792E-2</v>
      </c>
      <c r="S231" t="str">
        <f t="shared" si="3"/>
        <v>High (21-30%)</v>
      </c>
    </row>
    <row r="232" spans="1:19" x14ac:dyDescent="0.2">
      <c r="A232" t="s">
        <v>662</v>
      </c>
      <c r="B232" s="3" t="s">
        <v>663</v>
      </c>
      <c r="C232" t="s">
        <v>60</v>
      </c>
      <c r="D232" t="s">
        <v>27</v>
      </c>
      <c r="E232" t="s">
        <v>124</v>
      </c>
      <c r="F232" t="s">
        <v>55</v>
      </c>
      <c r="G232" t="s">
        <v>74</v>
      </c>
      <c r="H232" t="s">
        <v>75</v>
      </c>
      <c r="I232" s="4">
        <v>6087.72</v>
      </c>
      <c r="J232">
        <v>6</v>
      </c>
      <c r="K232" s="2">
        <v>0.05</v>
      </c>
      <c r="L232" s="4">
        <v>561.76</v>
      </c>
      <c r="M232" t="s">
        <v>63</v>
      </c>
      <c r="N232" t="s">
        <v>39</v>
      </c>
      <c r="O232">
        <f>YEAR(Table1[[#This Row],[Order Date]])</f>
        <v>2025</v>
      </c>
      <c r="P232" t="str">
        <f>TEXT(Table1[[#This Row],[Order Date]],"mmmm")</f>
        <v>July</v>
      </c>
      <c r="Q232" t="str">
        <f>TEXT(Table1[[#This Row],[Order Date]],"mm")</f>
        <v>07</v>
      </c>
      <c r="R232" s="2">
        <f>Table1[[#This Row],[Profit]]/Table1[[#This Row],[Sales]]</f>
        <v>9.2277568613536753E-2</v>
      </c>
      <c r="S232" t="str">
        <f t="shared" si="3"/>
        <v>Low (1-10%)</v>
      </c>
    </row>
    <row r="233" spans="1:19" x14ac:dyDescent="0.2">
      <c r="A233" t="s">
        <v>664</v>
      </c>
      <c r="B233" s="3" t="s">
        <v>665</v>
      </c>
      <c r="C233" t="s">
        <v>666</v>
      </c>
      <c r="D233" t="s">
        <v>137</v>
      </c>
      <c r="E233" t="s">
        <v>142</v>
      </c>
      <c r="F233" t="s">
        <v>67</v>
      </c>
      <c r="G233" t="s">
        <v>85</v>
      </c>
      <c r="H233" t="s">
        <v>86</v>
      </c>
      <c r="I233" s="4">
        <v>740.29</v>
      </c>
      <c r="J233">
        <v>1</v>
      </c>
      <c r="K233" s="2">
        <v>0.05</v>
      </c>
      <c r="L233" s="4">
        <v>103.14</v>
      </c>
      <c r="M233" t="s">
        <v>38</v>
      </c>
      <c r="N233" t="s">
        <v>39</v>
      </c>
      <c r="O233">
        <f>YEAR(Table1[[#This Row],[Order Date]])</f>
        <v>2024</v>
      </c>
      <c r="P233" t="str">
        <f>TEXT(Table1[[#This Row],[Order Date]],"mmmm")</f>
        <v>July</v>
      </c>
      <c r="Q233" t="str">
        <f>TEXT(Table1[[#This Row],[Order Date]],"mm")</f>
        <v>07</v>
      </c>
      <c r="R233" s="2">
        <f>Table1[[#This Row],[Profit]]/Table1[[#This Row],[Sales]]</f>
        <v>0.13932377851922895</v>
      </c>
      <c r="S233" t="str">
        <f t="shared" si="3"/>
        <v>Low (1-10%)</v>
      </c>
    </row>
    <row r="234" spans="1:19" x14ac:dyDescent="0.2">
      <c r="A234" t="s">
        <v>667</v>
      </c>
      <c r="B234" s="3" t="s">
        <v>304</v>
      </c>
      <c r="C234" t="s">
        <v>26</v>
      </c>
      <c r="D234" t="s">
        <v>48</v>
      </c>
      <c r="E234" t="s">
        <v>49</v>
      </c>
      <c r="F234" t="s">
        <v>55</v>
      </c>
      <c r="G234" t="s">
        <v>98</v>
      </c>
      <c r="H234" t="s">
        <v>150</v>
      </c>
      <c r="I234" s="4">
        <v>1873.5</v>
      </c>
      <c r="J234">
        <v>3</v>
      </c>
      <c r="K234" s="2">
        <v>0.05</v>
      </c>
      <c r="L234" s="4">
        <v>71.62</v>
      </c>
      <c r="M234" t="s">
        <v>44</v>
      </c>
      <c r="N234" t="s">
        <v>23</v>
      </c>
      <c r="O234">
        <f>YEAR(Table1[[#This Row],[Order Date]])</f>
        <v>2024</v>
      </c>
      <c r="P234" t="str">
        <f>TEXT(Table1[[#This Row],[Order Date]],"mmmm")</f>
        <v>January</v>
      </c>
      <c r="Q234" t="str">
        <f>TEXT(Table1[[#This Row],[Order Date]],"mm")</f>
        <v>01</v>
      </c>
      <c r="R234" s="2">
        <f>Table1[[#This Row],[Profit]]/Table1[[#This Row],[Sales]]</f>
        <v>3.822791566586603E-2</v>
      </c>
      <c r="S234" t="str">
        <f t="shared" si="3"/>
        <v>Low (1-10%)</v>
      </c>
    </row>
    <row r="235" spans="1:19" x14ac:dyDescent="0.2">
      <c r="A235" t="s">
        <v>668</v>
      </c>
      <c r="B235" s="3" t="s">
        <v>669</v>
      </c>
      <c r="C235" t="s">
        <v>468</v>
      </c>
      <c r="D235" t="s">
        <v>27</v>
      </c>
      <c r="E235" t="s">
        <v>61</v>
      </c>
      <c r="F235" t="s">
        <v>67</v>
      </c>
      <c r="G235" t="s">
        <v>68</v>
      </c>
      <c r="H235" t="s">
        <v>69</v>
      </c>
      <c r="I235" s="4">
        <v>2026.98</v>
      </c>
      <c r="J235">
        <v>2</v>
      </c>
      <c r="K235" s="2">
        <v>0.25</v>
      </c>
      <c r="L235" s="4">
        <v>-373.99</v>
      </c>
      <c r="M235" t="s">
        <v>31</v>
      </c>
      <c r="N235" t="s">
        <v>32</v>
      </c>
      <c r="O235">
        <f>YEAR(Table1[[#This Row],[Order Date]])</f>
        <v>2025</v>
      </c>
      <c r="P235" t="str">
        <f>TEXT(Table1[[#This Row],[Order Date]],"mmmm")</f>
        <v>March</v>
      </c>
      <c r="Q235" t="str">
        <f>TEXT(Table1[[#This Row],[Order Date]],"mm")</f>
        <v>03</v>
      </c>
      <c r="R235" s="2">
        <f>Table1[[#This Row],[Profit]]/Table1[[#This Row],[Sales]]</f>
        <v>-0.18450601387285517</v>
      </c>
      <c r="S235" t="str">
        <f t="shared" si="3"/>
        <v>High (21-30%)</v>
      </c>
    </row>
    <row r="236" spans="1:19" x14ac:dyDescent="0.2">
      <c r="A236" t="s">
        <v>670</v>
      </c>
      <c r="B236" s="3" t="s">
        <v>671</v>
      </c>
      <c r="C236" t="s">
        <v>672</v>
      </c>
      <c r="D236" t="s">
        <v>27</v>
      </c>
      <c r="E236" t="s">
        <v>124</v>
      </c>
      <c r="F236" t="s">
        <v>55</v>
      </c>
      <c r="G236" t="s">
        <v>74</v>
      </c>
      <c r="H236" t="s">
        <v>272</v>
      </c>
      <c r="I236" s="4">
        <v>314.60000000000002</v>
      </c>
      <c r="J236">
        <v>4</v>
      </c>
      <c r="K236" s="2">
        <v>0.2</v>
      </c>
      <c r="L236" s="4">
        <v>-6.47</v>
      </c>
      <c r="M236" t="s">
        <v>22</v>
      </c>
      <c r="N236" t="s">
        <v>23</v>
      </c>
      <c r="O236">
        <f>YEAR(Table1[[#This Row],[Order Date]])</f>
        <v>2024</v>
      </c>
      <c r="P236" t="str">
        <f>TEXT(Table1[[#This Row],[Order Date]],"mmmm")</f>
        <v>September</v>
      </c>
      <c r="Q236" t="str">
        <f>TEXT(Table1[[#This Row],[Order Date]],"mm")</f>
        <v>09</v>
      </c>
      <c r="R236" s="2">
        <f>Table1[[#This Row],[Profit]]/Table1[[#This Row],[Sales]]</f>
        <v>-2.0565797838525111E-2</v>
      </c>
      <c r="S236" t="str">
        <f t="shared" si="3"/>
        <v>Medium (11-20%)</v>
      </c>
    </row>
    <row r="237" spans="1:19" x14ac:dyDescent="0.2">
      <c r="A237" t="s">
        <v>673</v>
      </c>
      <c r="B237" s="3" t="s">
        <v>674</v>
      </c>
      <c r="C237" t="s">
        <v>286</v>
      </c>
      <c r="D237" t="s">
        <v>48</v>
      </c>
      <c r="E237" t="s">
        <v>73</v>
      </c>
      <c r="F237" t="s">
        <v>55</v>
      </c>
      <c r="G237" t="s">
        <v>98</v>
      </c>
      <c r="H237" t="s">
        <v>154</v>
      </c>
      <c r="I237" s="4">
        <v>934.32</v>
      </c>
      <c r="J237">
        <v>3</v>
      </c>
      <c r="K237" s="2">
        <v>0.1</v>
      </c>
      <c r="L237" s="4">
        <v>266.76</v>
      </c>
      <c r="M237" t="s">
        <v>38</v>
      </c>
      <c r="N237" t="s">
        <v>23</v>
      </c>
      <c r="O237">
        <f>YEAR(Table1[[#This Row],[Order Date]])</f>
        <v>2025</v>
      </c>
      <c r="P237" t="str">
        <f>TEXT(Table1[[#This Row],[Order Date]],"mmmm")</f>
        <v>May</v>
      </c>
      <c r="Q237" t="str">
        <f>TEXT(Table1[[#This Row],[Order Date]],"mm")</f>
        <v>05</v>
      </c>
      <c r="R237" s="2">
        <f>Table1[[#This Row],[Profit]]/Table1[[#This Row],[Sales]]</f>
        <v>0.28551245825841248</v>
      </c>
      <c r="S237" t="str">
        <f t="shared" si="3"/>
        <v>Low (1-10%)</v>
      </c>
    </row>
    <row r="238" spans="1:19" x14ac:dyDescent="0.2">
      <c r="A238" t="s">
        <v>675</v>
      </c>
      <c r="B238" s="3" t="s">
        <v>676</v>
      </c>
      <c r="C238" t="s">
        <v>378</v>
      </c>
      <c r="D238" t="s">
        <v>48</v>
      </c>
      <c r="E238" t="s">
        <v>84</v>
      </c>
      <c r="F238" t="s">
        <v>55</v>
      </c>
      <c r="G238" t="s">
        <v>56</v>
      </c>
      <c r="H238" t="s">
        <v>62</v>
      </c>
      <c r="I238" s="4">
        <v>743.13</v>
      </c>
      <c r="J238">
        <v>9</v>
      </c>
      <c r="K238" s="2">
        <v>0.2</v>
      </c>
      <c r="L238" s="4">
        <v>-85.62</v>
      </c>
      <c r="M238" t="s">
        <v>31</v>
      </c>
      <c r="N238" t="s">
        <v>32</v>
      </c>
      <c r="O238">
        <f>YEAR(Table1[[#This Row],[Order Date]])</f>
        <v>2025</v>
      </c>
      <c r="P238" t="str">
        <f>TEXT(Table1[[#This Row],[Order Date]],"mmmm")</f>
        <v>September</v>
      </c>
      <c r="Q238" t="str">
        <f>TEXT(Table1[[#This Row],[Order Date]],"mm")</f>
        <v>09</v>
      </c>
      <c r="R238" s="2">
        <f>Table1[[#This Row],[Profit]]/Table1[[#This Row],[Sales]]</f>
        <v>-0.11521537281498527</v>
      </c>
      <c r="S238" t="str">
        <f t="shared" si="3"/>
        <v>Medium (11-20%)</v>
      </c>
    </row>
    <row r="239" spans="1:19" x14ac:dyDescent="0.2">
      <c r="A239" t="s">
        <v>677</v>
      </c>
      <c r="B239" s="3" t="s">
        <v>401</v>
      </c>
      <c r="C239" t="s">
        <v>678</v>
      </c>
      <c r="D239" t="s">
        <v>27</v>
      </c>
      <c r="E239" t="s">
        <v>43</v>
      </c>
      <c r="F239" t="s">
        <v>67</v>
      </c>
      <c r="G239" t="s">
        <v>68</v>
      </c>
      <c r="H239" t="s">
        <v>382</v>
      </c>
      <c r="I239" s="4">
        <v>1885.6</v>
      </c>
      <c r="J239">
        <v>2</v>
      </c>
      <c r="K239" s="2">
        <v>0.2</v>
      </c>
      <c r="L239" s="4">
        <v>148.38</v>
      </c>
      <c r="M239" t="s">
        <v>31</v>
      </c>
      <c r="N239" t="s">
        <v>23</v>
      </c>
      <c r="O239">
        <f>YEAR(Table1[[#This Row],[Order Date]])</f>
        <v>2024</v>
      </c>
      <c r="P239" t="str">
        <f>TEXT(Table1[[#This Row],[Order Date]],"mmmm")</f>
        <v>October</v>
      </c>
      <c r="Q239" t="str">
        <f>TEXT(Table1[[#This Row],[Order Date]],"mm")</f>
        <v>10</v>
      </c>
      <c r="R239" s="2">
        <f>Table1[[#This Row],[Profit]]/Table1[[#This Row],[Sales]]</f>
        <v>7.869113279592703E-2</v>
      </c>
      <c r="S239" t="str">
        <f t="shared" si="3"/>
        <v>Medium (11-20%)</v>
      </c>
    </row>
    <row r="240" spans="1:19" x14ac:dyDescent="0.2">
      <c r="A240" t="s">
        <v>679</v>
      </c>
      <c r="B240" s="3" t="s">
        <v>15</v>
      </c>
      <c r="C240" t="s">
        <v>543</v>
      </c>
      <c r="D240" t="s">
        <v>17</v>
      </c>
      <c r="E240" t="s">
        <v>80</v>
      </c>
      <c r="F240" t="s">
        <v>67</v>
      </c>
      <c r="G240" t="s">
        <v>115</v>
      </c>
      <c r="H240" t="s">
        <v>116</v>
      </c>
      <c r="I240" s="4">
        <v>7725.92</v>
      </c>
      <c r="J240">
        <v>8</v>
      </c>
      <c r="K240" s="2">
        <v>0.15</v>
      </c>
      <c r="L240" s="4">
        <v>1076.1199999999999</v>
      </c>
      <c r="M240" t="s">
        <v>38</v>
      </c>
      <c r="N240" t="s">
        <v>32</v>
      </c>
      <c r="O240">
        <f>YEAR(Table1[[#This Row],[Order Date]])</f>
        <v>2025</v>
      </c>
      <c r="P240" t="str">
        <f>TEXT(Table1[[#This Row],[Order Date]],"mmmm")</f>
        <v>January</v>
      </c>
      <c r="Q240" t="str">
        <f>TEXT(Table1[[#This Row],[Order Date]],"mm")</f>
        <v>01</v>
      </c>
      <c r="R240" s="2">
        <f>Table1[[#This Row],[Profit]]/Table1[[#This Row],[Sales]]</f>
        <v>0.13928697164868389</v>
      </c>
      <c r="S240" t="str">
        <f t="shared" si="3"/>
        <v>Medium (11-20%)</v>
      </c>
    </row>
    <row r="241" spans="1:19" x14ac:dyDescent="0.2">
      <c r="A241" t="s">
        <v>680</v>
      </c>
      <c r="B241" s="3" t="s">
        <v>681</v>
      </c>
      <c r="C241" t="s">
        <v>123</v>
      </c>
      <c r="D241" t="s">
        <v>48</v>
      </c>
      <c r="E241" t="s">
        <v>84</v>
      </c>
      <c r="F241" t="s">
        <v>19</v>
      </c>
      <c r="G241" t="s">
        <v>20</v>
      </c>
      <c r="H241" t="s">
        <v>239</v>
      </c>
      <c r="I241" s="4">
        <v>123</v>
      </c>
      <c r="J241">
        <v>1</v>
      </c>
      <c r="K241" s="2">
        <v>0</v>
      </c>
      <c r="L241" s="4">
        <v>15.55</v>
      </c>
      <c r="M241" t="s">
        <v>143</v>
      </c>
      <c r="N241" t="s">
        <v>76</v>
      </c>
      <c r="O241">
        <f>YEAR(Table1[[#This Row],[Order Date]])</f>
        <v>2024</v>
      </c>
      <c r="P241" t="str">
        <f>TEXT(Table1[[#This Row],[Order Date]],"mmmm")</f>
        <v>February</v>
      </c>
      <c r="Q241" t="str">
        <f>TEXT(Table1[[#This Row],[Order Date]],"mm")</f>
        <v>02</v>
      </c>
      <c r="R241" s="2">
        <f>Table1[[#This Row],[Profit]]/Table1[[#This Row],[Sales]]</f>
        <v>0.12642276422764229</v>
      </c>
      <c r="S241" t="str">
        <f t="shared" si="3"/>
        <v>No Discount</v>
      </c>
    </row>
    <row r="242" spans="1:19" x14ac:dyDescent="0.2">
      <c r="A242" t="s">
        <v>682</v>
      </c>
      <c r="B242" s="3" t="s">
        <v>472</v>
      </c>
      <c r="C242" t="s">
        <v>355</v>
      </c>
      <c r="D242" t="s">
        <v>48</v>
      </c>
      <c r="E242" t="s">
        <v>49</v>
      </c>
      <c r="F242" t="s">
        <v>19</v>
      </c>
      <c r="G242" t="s">
        <v>36</v>
      </c>
      <c r="H242" t="s">
        <v>111</v>
      </c>
      <c r="I242" s="4">
        <v>366.1</v>
      </c>
      <c r="J242">
        <v>7</v>
      </c>
      <c r="K242" s="2">
        <v>0.1</v>
      </c>
      <c r="L242" s="4">
        <v>107.63</v>
      </c>
      <c r="M242" t="s">
        <v>117</v>
      </c>
      <c r="N242" t="s">
        <v>32</v>
      </c>
      <c r="O242">
        <f>YEAR(Table1[[#This Row],[Order Date]])</f>
        <v>2025</v>
      </c>
      <c r="P242" t="str">
        <f>TEXT(Table1[[#This Row],[Order Date]],"mmmm")</f>
        <v>August</v>
      </c>
      <c r="Q242" t="str">
        <f>TEXT(Table1[[#This Row],[Order Date]],"mm")</f>
        <v>08</v>
      </c>
      <c r="R242" s="2">
        <f>Table1[[#This Row],[Profit]]/Table1[[#This Row],[Sales]]</f>
        <v>0.2939907129199672</v>
      </c>
      <c r="S242" t="str">
        <f t="shared" si="3"/>
        <v>Low (1-10%)</v>
      </c>
    </row>
    <row r="243" spans="1:19" x14ac:dyDescent="0.2">
      <c r="A243" t="s">
        <v>683</v>
      </c>
      <c r="B243" s="3" t="s">
        <v>405</v>
      </c>
      <c r="C243" t="s">
        <v>684</v>
      </c>
      <c r="D243" t="s">
        <v>17</v>
      </c>
      <c r="E243" t="s">
        <v>54</v>
      </c>
      <c r="F243" t="s">
        <v>19</v>
      </c>
      <c r="G243" t="s">
        <v>20</v>
      </c>
      <c r="H243" t="s">
        <v>347</v>
      </c>
      <c r="I243" s="4">
        <v>1039.4000000000001</v>
      </c>
      <c r="J243">
        <v>10</v>
      </c>
      <c r="K243" s="2">
        <v>0.1</v>
      </c>
      <c r="L243" s="4">
        <v>265.93</v>
      </c>
      <c r="M243" t="s">
        <v>63</v>
      </c>
      <c r="N243" t="s">
        <v>23</v>
      </c>
      <c r="O243">
        <f>YEAR(Table1[[#This Row],[Order Date]])</f>
        <v>2025</v>
      </c>
      <c r="P243" t="str">
        <f>TEXT(Table1[[#This Row],[Order Date]],"mmmm")</f>
        <v>December</v>
      </c>
      <c r="Q243" t="str">
        <f>TEXT(Table1[[#This Row],[Order Date]],"mm")</f>
        <v>12</v>
      </c>
      <c r="R243" s="2">
        <f>Table1[[#This Row],[Profit]]/Table1[[#This Row],[Sales]]</f>
        <v>0.25584952857417742</v>
      </c>
      <c r="S243" t="str">
        <f t="shared" si="3"/>
        <v>Low (1-10%)</v>
      </c>
    </row>
    <row r="244" spans="1:19" x14ac:dyDescent="0.2">
      <c r="A244" t="s">
        <v>685</v>
      </c>
      <c r="B244" s="3" t="s">
        <v>686</v>
      </c>
      <c r="C244" t="s">
        <v>687</v>
      </c>
      <c r="D244" t="s">
        <v>27</v>
      </c>
      <c r="E244" t="s">
        <v>43</v>
      </c>
      <c r="F244" t="s">
        <v>67</v>
      </c>
      <c r="G244" t="s">
        <v>115</v>
      </c>
      <c r="H244" t="s">
        <v>212</v>
      </c>
      <c r="I244" s="4">
        <v>4093.56</v>
      </c>
      <c r="J244">
        <v>9</v>
      </c>
      <c r="K244" s="2">
        <v>0.05</v>
      </c>
      <c r="L244" s="4">
        <v>872.03</v>
      </c>
      <c r="M244" t="s">
        <v>38</v>
      </c>
      <c r="N244" t="s">
        <v>23</v>
      </c>
      <c r="O244">
        <f>YEAR(Table1[[#This Row],[Order Date]])</f>
        <v>2025</v>
      </c>
      <c r="P244" t="str">
        <f>TEXT(Table1[[#This Row],[Order Date]],"mmmm")</f>
        <v>March</v>
      </c>
      <c r="Q244" t="str">
        <f>TEXT(Table1[[#This Row],[Order Date]],"mm")</f>
        <v>03</v>
      </c>
      <c r="R244" s="2">
        <f>Table1[[#This Row],[Profit]]/Table1[[#This Row],[Sales]]</f>
        <v>0.213024848786875</v>
      </c>
      <c r="S244" t="str">
        <f t="shared" si="3"/>
        <v>Low (1-10%)</v>
      </c>
    </row>
    <row r="245" spans="1:19" x14ac:dyDescent="0.2">
      <c r="A245" t="s">
        <v>688</v>
      </c>
      <c r="B245" s="3" t="s">
        <v>689</v>
      </c>
      <c r="C245" t="s">
        <v>690</v>
      </c>
      <c r="D245" t="s">
        <v>48</v>
      </c>
      <c r="E245" t="s">
        <v>84</v>
      </c>
      <c r="F245" t="s">
        <v>19</v>
      </c>
      <c r="G245" t="s">
        <v>29</v>
      </c>
      <c r="H245" t="s">
        <v>50</v>
      </c>
      <c r="I245" s="4">
        <v>5267.2</v>
      </c>
      <c r="J245">
        <v>5</v>
      </c>
      <c r="K245" s="2">
        <v>0.3</v>
      </c>
      <c r="L245" s="4">
        <v>289.19</v>
      </c>
      <c r="M245" t="s">
        <v>195</v>
      </c>
      <c r="N245" t="s">
        <v>32</v>
      </c>
      <c r="O245">
        <f>YEAR(Table1[[#This Row],[Order Date]])</f>
        <v>2025</v>
      </c>
      <c r="P245" t="str">
        <f>TEXT(Table1[[#This Row],[Order Date]],"mmmm")</f>
        <v>May</v>
      </c>
      <c r="Q245" t="str">
        <f>TEXT(Table1[[#This Row],[Order Date]],"mm")</f>
        <v>05</v>
      </c>
      <c r="R245" s="2">
        <f>Table1[[#This Row],[Profit]]/Table1[[#This Row],[Sales]]</f>
        <v>5.4903933778857841E-2</v>
      </c>
      <c r="S245" t="str">
        <f t="shared" si="3"/>
        <v>High (21-30%)</v>
      </c>
    </row>
    <row r="246" spans="1:19" x14ac:dyDescent="0.2">
      <c r="A246" t="s">
        <v>691</v>
      </c>
      <c r="B246" s="3" t="s">
        <v>692</v>
      </c>
      <c r="C246" t="s">
        <v>693</v>
      </c>
      <c r="D246" t="s">
        <v>27</v>
      </c>
      <c r="E246" t="s">
        <v>61</v>
      </c>
      <c r="F246" t="s">
        <v>67</v>
      </c>
      <c r="G246" t="s">
        <v>68</v>
      </c>
      <c r="H246" t="s">
        <v>382</v>
      </c>
      <c r="I246" s="4">
        <v>1542.69</v>
      </c>
      <c r="J246">
        <v>9</v>
      </c>
      <c r="K246" s="2">
        <v>0.3</v>
      </c>
      <c r="L246" s="4">
        <v>38.020000000000003</v>
      </c>
      <c r="M246" t="s">
        <v>143</v>
      </c>
      <c r="N246" t="s">
        <v>39</v>
      </c>
      <c r="O246">
        <f>YEAR(Table1[[#This Row],[Order Date]])</f>
        <v>2025</v>
      </c>
      <c r="P246" t="str">
        <f>TEXT(Table1[[#This Row],[Order Date]],"mmmm")</f>
        <v>June</v>
      </c>
      <c r="Q246" t="str">
        <f>TEXT(Table1[[#This Row],[Order Date]],"mm")</f>
        <v>06</v>
      </c>
      <c r="R246" s="2">
        <f>Table1[[#This Row],[Profit]]/Table1[[#This Row],[Sales]]</f>
        <v>2.4645262496029663E-2</v>
      </c>
      <c r="S246" t="str">
        <f t="shared" si="3"/>
        <v>High (21-30%)</v>
      </c>
    </row>
    <row r="247" spans="1:19" x14ac:dyDescent="0.2">
      <c r="A247" t="s">
        <v>694</v>
      </c>
      <c r="B247" s="3" t="s">
        <v>695</v>
      </c>
      <c r="C247" t="s">
        <v>378</v>
      </c>
      <c r="D247" t="s">
        <v>48</v>
      </c>
      <c r="E247" t="s">
        <v>110</v>
      </c>
      <c r="F247" t="s">
        <v>67</v>
      </c>
      <c r="G247" t="s">
        <v>85</v>
      </c>
      <c r="H247" t="s">
        <v>125</v>
      </c>
      <c r="I247" s="4">
        <v>685.38</v>
      </c>
      <c r="J247">
        <v>6</v>
      </c>
      <c r="K247" s="2">
        <v>0.2</v>
      </c>
      <c r="L247" s="4">
        <v>109.82</v>
      </c>
      <c r="M247" t="s">
        <v>44</v>
      </c>
      <c r="N247" t="s">
        <v>76</v>
      </c>
      <c r="O247">
        <f>YEAR(Table1[[#This Row],[Order Date]])</f>
        <v>2025</v>
      </c>
      <c r="P247" t="str">
        <f>TEXT(Table1[[#This Row],[Order Date]],"mmmm")</f>
        <v>July</v>
      </c>
      <c r="Q247" t="str">
        <f>TEXT(Table1[[#This Row],[Order Date]],"mm")</f>
        <v>07</v>
      </c>
      <c r="R247" s="2">
        <f>Table1[[#This Row],[Profit]]/Table1[[#This Row],[Sales]]</f>
        <v>0.16023227990311942</v>
      </c>
      <c r="S247" t="str">
        <f t="shared" si="3"/>
        <v>Medium (11-20%)</v>
      </c>
    </row>
    <row r="248" spans="1:19" x14ac:dyDescent="0.2">
      <c r="A248" t="s">
        <v>696</v>
      </c>
      <c r="B248" s="3" t="s">
        <v>122</v>
      </c>
      <c r="C248" t="s">
        <v>370</v>
      </c>
      <c r="D248" t="s">
        <v>48</v>
      </c>
      <c r="E248" t="s">
        <v>110</v>
      </c>
      <c r="F248" t="s">
        <v>19</v>
      </c>
      <c r="G248" t="s">
        <v>29</v>
      </c>
      <c r="H248" t="s">
        <v>30</v>
      </c>
      <c r="I248" s="4">
        <v>1548.19</v>
      </c>
      <c r="J248">
        <v>7</v>
      </c>
      <c r="K248" s="2">
        <v>0.25</v>
      </c>
      <c r="L248" s="4">
        <v>-103.91</v>
      </c>
      <c r="M248" t="s">
        <v>117</v>
      </c>
      <c r="N248" t="s">
        <v>39</v>
      </c>
      <c r="O248">
        <f>YEAR(Table1[[#This Row],[Order Date]])</f>
        <v>2025</v>
      </c>
      <c r="P248" t="str">
        <f>TEXT(Table1[[#This Row],[Order Date]],"mmmm")</f>
        <v>July</v>
      </c>
      <c r="Q248" t="str">
        <f>TEXT(Table1[[#This Row],[Order Date]],"mm")</f>
        <v>07</v>
      </c>
      <c r="R248" s="2">
        <f>Table1[[#This Row],[Profit]]/Table1[[#This Row],[Sales]]</f>
        <v>-6.7117085112292418E-2</v>
      </c>
      <c r="S248" t="str">
        <f t="shared" si="3"/>
        <v>High (21-30%)</v>
      </c>
    </row>
    <row r="249" spans="1:19" x14ac:dyDescent="0.2">
      <c r="A249" t="s">
        <v>697</v>
      </c>
      <c r="B249" s="3" t="s">
        <v>698</v>
      </c>
      <c r="C249" t="s">
        <v>114</v>
      </c>
      <c r="D249" t="s">
        <v>137</v>
      </c>
      <c r="E249" t="s">
        <v>242</v>
      </c>
      <c r="F249" t="s">
        <v>67</v>
      </c>
      <c r="G249" t="s">
        <v>115</v>
      </c>
      <c r="H249" t="s">
        <v>212</v>
      </c>
      <c r="I249" s="4">
        <v>5036.3999999999996</v>
      </c>
      <c r="J249">
        <v>6</v>
      </c>
      <c r="K249" s="2">
        <v>0</v>
      </c>
      <c r="L249" s="4">
        <v>2181.09</v>
      </c>
      <c r="M249" t="s">
        <v>44</v>
      </c>
      <c r="N249" t="s">
        <v>39</v>
      </c>
      <c r="O249">
        <f>YEAR(Table1[[#This Row],[Order Date]])</f>
        <v>2024</v>
      </c>
      <c r="P249" t="str">
        <f>TEXT(Table1[[#This Row],[Order Date]],"mmmm")</f>
        <v>March</v>
      </c>
      <c r="Q249" t="str">
        <f>TEXT(Table1[[#This Row],[Order Date]],"mm")</f>
        <v>03</v>
      </c>
      <c r="R249" s="2">
        <f>Table1[[#This Row],[Profit]]/Table1[[#This Row],[Sales]]</f>
        <v>0.43306528472718614</v>
      </c>
      <c r="S249" t="str">
        <f t="shared" si="3"/>
        <v>No Discount</v>
      </c>
    </row>
    <row r="250" spans="1:19" x14ac:dyDescent="0.2">
      <c r="A250" t="s">
        <v>699</v>
      </c>
      <c r="B250" s="3" t="s">
        <v>700</v>
      </c>
      <c r="C250" t="s">
        <v>701</v>
      </c>
      <c r="D250" t="s">
        <v>17</v>
      </c>
      <c r="E250" t="s">
        <v>80</v>
      </c>
      <c r="F250" t="s">
        <v>55</v>
      </c>
      <c r="G250" t="s">
        <v>98</v>
      </c>
      <c r="H250" t="s">
        <v>154</v>
      </c>
      <c r="I250" s="4">
        <v>3679.14</v>
      </c>
      <c r="J250">
        <v>6</v>
      </c>
      <c r="K250" s="2">
        <v>0.25</v>
      </c>
      <c r="L250" s="4">
        <v>-598.41999999999996</v>
      </c>
      <c r="M250" t="s">
        <v>117</v>
      </c>
      <c r="N250" t="s">
        <v>39</v>
      </c>
      <c r="O250">
        <f>YEAR(Table1[[#This Row],[Order Date]])</f>
        <v>2024</v>
      </c>
      <c r="P250" t="str">
        <f>TEXT(Table1[[#This Row],[Order Date]],"mmmm")</f>
        <v>January</v>
      </c>
      <c r="Q250" t="str">
        <f>TEXT(Table1[[#This Row],[Order Date]],"mm")</f>
        <v>01</v>
      </c>
      <c r="R250" s="2">
        <f>Table1[[#This Row],[Profit]]/Table1[[#This Row],[Sales]]</f>
        <v>-0.16265214153307567</v>
      </c>
      <c r="S250" t="str">
        <f t="shared" si="3"/>
        <v>High (21-30%)</v>
      </c>
    </row>
    <row r="251" spans="1:19" x14ac:dyDescent="0.2">
      <c r="A251" t="s">
        <v>702</v>
      </c>
      <c r="B251" s="3" t="s">
        <v>703</v>
      </c>
      <c r="C251" t="s">
        <v>175</v>
      </c>
      <c r="D251" t="s">
        <v>27</v>
      </c>
      <c r="E251" t="s">
        <v>124</v>
      </c>
      <c r="F251" t="s">
        <v>67</v>
      </c>
      <c r="G251" t="s">
        <v>85</v>
      </c>
      <c r="H251" t="s">
        <v>86</v>
      </c>
      <c r="I251" s="4">
        <v>3349.71</v>
      </c>
      <c r="J251">
        <v>7</v>
      </c>
      <c r="K251" s="2">
        <v>0.1</v>
      </c>
      <c r="L251" s="4">
        <v>696.57</v>
      </c>
      <c r="M251" t="s">
        <v>22</v>
      </c>
      <c r="N251" t="s">
        <v>76</v>
      </c>
      <c r="O251">
        <f>YEAR(Table1[[#This Row],[Order Date]])</f>
        <v>2024</v>
      </c>
      <c r="P251" t="str">
        <f>TEXT(Table1[[#This Row],[Order Date]],"mmmm")</f>
        <v>February</v>
      </c>
      <c r="Q251" t="str">
        <f>TEXT(Table1[[#This Row],[Order Date]],"mm")</f>
        <v>02</v>
      </c>
      <c r="R251" s="2">
        <f>Table1[[#This Row],[Profit]]/Table1[[#This Row],[Sales]]</f>
        <v>0.20794934486866029</v>
      </c>
      <c r="S251" t="str">
        <f t="shared" si="3"/>
        <v>Low (1-10%)</v>
      </c>
    </row>
    <row r="252" spans="1:19" x14ac:dyDescent="0.2">
      <c r="A252" t="s">
        <v>704</v>
      </c>
      <c r="B252" s="3" t="s">
        <v>705</v>
      </c>
      <c r="C252" t="s">
        <v>540</v>
      </c>
      <c r="D252" t="s">
        <v>137</v>
      </c>
      <c r="E252" t="s">
        <v>242</v>
      </c>
      <c r="F252" t="s">
        <v>19</v>
      </c>
      <c r="G252" t="s">
        <v>29</v>
      </c>
      <c r="H252" t="s">
        <v>50</v>
      </c>
      <c r="I252" s="4">
        <v>2559.88</v>
      </c>
      <c r="J252">
        <v>4</v>
      </c>
      <c r="K252" s="2">
        <v>0.1</v>
      </c>
      <c r="L252" s="4">
        <v>829.81</v>
      </c>
      <c r="M252" t="s">
        <v>117</v>
      </c>
      <c r="N252" t="s">
        <v>39</v>
      </c>
      <c r="O252">
        <f>YEAR(Table1[[#This Row],[Order Date]])</f>
        <v>2025</v>
      </c>
      <c r="P252" t="str">
        <f>TEXT(Table1[[#This Row],[Order Date]],"mmmm")</f>
        <v>January</v>
      </c>
      <c r="Q252" t="str">
        <f>TEXT(Table1[[#This Row],[Order Date]],"mm")</f>
        <v>01</v>
      </c>
      <c r="R252" s="2">
        <f>Table1[[#This Row],[Profit]]/Table1[[#This Row],[Sales]]</f>
        <v>0.32415972623716732</v>
      </c>
      <c r="S252" t="str">
        <f t="shared" si="3"/>
        <v>Low (1-10%)</v>
      </c>
    </row>
    <row r="253" spans="1:19" x14ac:dyDescent="0.2">
      <c r="A253" t="s">
        <v>706</v>
      </c>
      <c r="B253" s="3" t="s">
        <v>15</v>
      </c>
      <c r="C253" t="s">
        <v>381</v>
      </c>
      <c r="D253" t="s">
        <v>48</v>
      </c>
      <c r="E253" t="s">
        <v>49</v>
      </c>
      <c r="F253" t="s">
        <v>67</v>
      </c>
      <c r="G253" t="s">
        <v>68</v>
      </c>
      <c r="H253" t="s">
        <v>382</v>
      </c>
      <c r="I253" s="4">
        <v>6758.85</v>
      </c>
      <c r="J253">
        <v>7</v>
      </c>
      <c r="K253" s="2">
        <v>0</v>
      </c>
      <c r="L253" s="4">
        <v>1289.29</v>
      </c>
      <c r="M253" t="s">
        <v>143</v>
      </c>
      <c r="N253" t="s">
        <v>23</v>
      </c>
      <c r="O253">
        <f>YEAR(Table1[[#This Row],[Order Date]])</f>
        <v>2025</v>
      </c>
      <c r="P253" t="str">
        <f>TEXT(Table1[[#This Row],[Order Date]],"mmmm")</f>
        <v>January</v>
      </c>
      <c r="Q253" t="str">
        <f>TEXT(Table1[[#This Row],[Order Date]],"mm")</f>
        <v>01</v>
      </c>
      <c r="R253" s="2">
        <f>Table1[[#This Row],[Profit]]/Table1[[#This Row],[Sales]]</f>
        <v>0.19075582384577255</v>
      </c>
      <c r="S253" t="str">
        <f t="shared" si="3"/>
        <v>No Discount</v>
      </c>
    </row>
    <row r="254" spans="1:19" x14ac:dyDescent="0.2">
      <c r="A254" t="s">
        <v>707</v>
      </c>
      <c r="B254" s="3" t="s">
        <v>708</v>
      </c>
      <c r="C254" t="s">
        <v>355</v>
      </c>
      <c r="D254" t="s">
        <v>27</v>
      </c>
      <c r="E254" t="s">
        <v>61</v>
      </c>
      <c r="F254" t="s">
        <v>55</v>
      </c>
      <c r="G254" t="s">
        <v>56</v>
      </c>
      <c r="H254" t="s">
        <v>129</v>
      </c>
      <c r="I254" s="4">
        <v>2126.8000000000002</v>
      </c>
      <c r="J254">
        <v>4</v>
      </c>
      <c r="K254" s="2">
        <v>0</v>
      </c>
      <c r="L254" s="4">
        <v>440.77</v>
      </c>
      <c r="M254" t="s">
        <v>22</v>
      </c>
      <c r="N254" t="s">
        <v>76</v>
      </c>
      <c r="O254">
        <f>YEAR(Table1[[#This Row],[Order Date]])</f>
        <v>2025</v>
      </c>
      <c r="P254" t="str">
        <f>TEXT(Table1[[#This Row],[Order Date]],"mmmm")</f>
        <v>July</v>
      </c>
      <c r="Q254" t="str">
        <f>TEXT(Table1[[#This Row],[Order Date]],"mm")</f>
        <v>07</v>
      </c>
      <c r="R254" s="2">
        <f>Table1[[#This Row],[Profit]]/Table1[[#This Row],[Sales]]</f>
        <v>0.20724562723340226</v>
      </c>
      <c r="S254" t="str">
        <f t="shared" si="3"/>
        <v>No Discount</v>
      </c>
    </row>
    <row r="255" spans="1:19" x14ac:dyDescent="0.2">
      <c r="A255" t="s">
        <v>709</v>
      </c>
      <c r="B255" s="3" t="s">
        <v>710</v>
      </c>
      <c r="C255" t="s">
        <v>701</v>
      </c>
      <c r="D255" t="s">
        <v>27</v>
      </c>
      <c r="E255" t="s">
        <v>61</v>
      </c>
      <c r="F255" t="s">
        <v>67</v>
      </c>
      <c r="G255" t="s">
        <v>68</v>
      </c>
      <c r="H255" t="s">
        <v>382</v>
      </c>
      <c r="I255" s="4">
        <v>8304.48</v>
      </c>
      <c r="J255">
        <v>8</v>
      </c>
      <c r="K255" s="2">
        <v>0.05</v>
      </c>
      <c r="L255" s="4">
        <v>1783.91</v>
      </c>
      <c r="M255" t="s">
        <v>22</v>
      </c>
      <c r="N255" t="s">
        <v>23</v>
      </c>
      <c r="O255">
        <f>YEAR(Table1[[#This Row],[Order Date]])</f>
        <v>2024</v>
      </c>
      <c r="P255" t="str">
        <f>TEXT(Table1[[#This Row],[Order Date]],"mmmm")</f>
        <v>January</v>
      </c>
      <c r="Q255" t="str">
        <f>TEXT(Table1[[#This Row],[Order Date]],"mm")</f>
        <v>01</v>
      </c>
      <c r="R255" s="2">
        <f>Table1[[#This Row],[Profit]]/Table1[[#This Row],[Sales]]</f>
        <v>0.21481296842186387</v>
      </c>
      <c r="S255" t="str">
        <f t="shared" si="3"/>
        <v>Low (1-10%)</v>
      </c>
    </row>
    <row r="256" spans="1:19" x14ac:dyDescent="0.2">
      <c r="A256" t="s">
        <v>711</v>
      </c>
      <c r="B256" s="3" t="s">
        <v>712</v>
      </c>
      <c r="C256" t="s">
        <v>192</v>
      </c>
      <c r="D256" t="s">
        <v>17</v>
      </c>
      <c r="E256" t="s">
        <v>18</v>
      </c>
      <c r="F256" t="s">
        <v>67</v>
      </c>
      <c r="G256" t="s">
        <v>68</v>
      </c>
      <c r="H256" t="s">
        <v>69</v>
      </c>
      <c r="I256" s="4">
        <v>5749.02</v>
      </c>
      <c r="J256">
        <v>6</v>
      </c>
      <c r="K256" s="2">
        <v>0.1</v>
      </c>
      <c r="L256" s="4">
        <v>1213</v>
      </c>
      <c r="M256" t="s">
        <v>44</v>
      </c>
      <c r="N256" t="s">
        <v>23</v>
      </c>
      <c r="O256">
        <f>YEAR(Table1[[#This Row],[Order Date]])</f>
        <v>2024</v>
      </c>
      <c r="P256" t="str">
        <f>TEXT(Table1[[#This Row],[Order Date]],"mmmm")</f>
        <v>October</v>
      </c>
      <c r="Q256" t="str">
        <f>TEXT(Table1[[#This Row],[Order Date]],"mm")</f>
        <v>10</v>
      </c>
      <c r="R256" s="2">
        <f>Table1[[#This Row],[Profit]]/Table1[[#This Row],[Sales]]</f>
        <v>0.21099248219696573</v>
      </c>
      <c r="S256" t="str">
        <f t="shared" si="3"/>
        <v>Low (1-10%)</v>
      </c>
    </row>
    <row r="257" spans="1:19" x14ac:dyDescent="0.2">
      <c r="A257" t="s">
        <v>713</v>
      </c>
      <c r="B257" s="3" t="s">
        <v>714</v>
      </c>
      <c r="C257" t="s">
        <v>355</v>
      </c>
      <c r="D257" t="s">
        <v>27</v>
      </c>
      <c r="E257" t="s">
        <v>28</v>
      </c>
      <c r="F257" t="s">
        <v>67</v>
      </c>
      <c r="G257" t="s">
        <v>85</v>
      </c>
      <c r="H257" t="s">
        <v>86</v>
      </c>
      <c r="I257" s="4">
        <v>250.05</v>
      </c>
      <c r="J257">
        <v>3</v>
      </c>
      <c r="K257" s="2">
        <v>0</v>
      </c>
      <c r="L257" s="4">
        <v>31.85</v>
      </c>
      <c r="M257" t="s">
        <v>195</v>
      </c>
      <c r="N257" t="s">
        <v>76</v>
      </c>
      <c r="O257">
        <f>YEAR(Table1[[#This Row],[Order Date]])</f>
        <v>2024</v>
      </c>
      <c r="P257" t="str">
        <f>TEXT(Table1[[#This Row],[Order Date]],"mmmm")</f>
        <v>October</v>
      </c>
      <c r="Q257" t="str">
        <f>TEXT(Table1[[#This Row],[Order Date]],"mm")</f>
        <v>10</v>
      </c>
      <c r="R257" s="2">
        <f>Table1[[#This Row],[Profit]]/Table1[[#This Row],[Sales]]</f>
        <v>0.12737452509498101</v>
      </c>
      <c r="S257" t="str">
        <f t="shared" si="3"/>
        <v>No Discount</v>
      </c>
    </row>
    <row r="258" spans="1:19" x14ac:dyDescent="0.2">
      <c r="A258" t="s">
        <v>715</v>
      </c>
      <c r="B258" s="3" t="s">
        <v>716</v>
      </c>
      <c r="C258" t="s">
        <v>678</v>
      </c>
      <c r="D258" t="s">
        <v>17</v>
      </c>
      <c r="E258" t="s">
        <v>54</v>
      </c>
      <c r="F258" t="s">
        <v>67</v>
      </c>
      <c r="G258" t="s">
        <v>115</v>
      </c>
      <c r="H258" t="s">
        <v>178</v>
      </c>
      <c r="I258" s="4">
        <v>1999.84</v>
      </c>
      <c r="J258">
        <v>2</v>
      </c>
      <c r="K258" s="2">
        <v>0.05</v>
      </c>
      <c r="L258" s="4">
        <v>774.42</v>
      </c>
      <c r="M258" t="s">
        <v>87</v>
      </c>
      <c r="N258" t="s">
        <v>32</v>
      </c>
      <c r="O258">
        <f>YEAR(Table1[[#This Row],[Order Date]])</f>
        <v>2024</v>
      </c>
      <c r="P258" t="str">
        <f>TEXT(Table1[[#This Row],[Order Date]],"mmmm")</f>
        <v>June</v>
      </c>
      <c r="Q258" t="str">
        <f>TEXT(Table1[[#This Row],[Order Date]],"mm")</f>
        <v>06</v>
      </c>
      <c r="R258" s="2">
        <f>Table1[[#This Row],[Profit]]/Table1[[#This Row],[Sales]]</f>
        <v>0.38724097927834228</v>
      </c>
      <c r="S258" t="str">
        <f t="shared" ref="S258:S321" si="4">IF(K258=0,"No Discount",
IF(K258&lt;=0.1,"Low (1-10%)",
IF(K258&lt;=0.2,"Medium (11-20%)",
IF(K258&lt;=0.3,"High (21-30%)","Very High (&gt;30%)"))))</f>
        <v>Low (1-10%)</v>
      </c>
    </row>
    <row r="259" spans="1:19" x14ac:dyDescent="0.2">
      <c r="A259" t="s">
        <v>717</v>
      </c>
      <c r="B259" s="3" t="s">
        <v>718</v>
      </c>
      <c r="C259" t="s">
        <v>159</v>
      </c>
      <c r="D259" t="s">
        <v>27</v>
      </c>
      <c r="E259" t="s">
        <v>124</v>
      </c>
      <c r="F259" t="s">
        <v>19</v>
      </c>
      <c r="G259" t="s">
        <v>36</v>
      </c>
      <c r="H259" t="s">
        <v>37</v>
      </c>
      <c r="I259" s="4">
        <v>274.24</v>
      </c>
      <c r="J259">
        <v>4</v>
      </c>
      <c r="K259" s="2">
        <v>0.1</v>
      </c>
      <c r="L259" s="4">
        <v>87.02</v>
      </c>
      <c r="M259" t="s">
        <v>63</v>
      </c>
      <c r="N259" t="s">
        <v>23</v>
      </c>
      <c r="O259">
        <f>YEAR(Table1[[#This Row],[Order Date]])</f>
        <v>2024</v>
      </c>
      <c r="P259" t="str">
        <f>TEXT(Table1[[#This Row],[Order Date]],"mmmm")</f>
        <v>January</v>
      </c>
      <c r="Q259" t="str">
        <f>TEXT(Table1[[#This Row],[Order Date]],"mm")</f>
        <v>01</v>
      </c>
      <c r="R259" s="2">
        <f>Table1[[#This Row],[Profit]]/Table1[[#This Row],[Sales]]</f>
        <v>0.31731330221703613</v>
      </c>
      <c r="S259" t="str">
        <f t="shared" si="4"/>
        <v>Low (1-10%)</v>
      </c>
    </row>
    <row r="260" spans="1:19" x14ac:dyDescent="0.2">
      <c r="A260" t="s">
        <v>719</v>
      </c>
      <c r="B260" s="3" t="s">
        <v>720</v>
      </c>
      <c r="C260" t="s">
        <v>47</v>
      </c>
      <c r="D260" t="s">
        <v>48</v>
      </c>
      <c r="E260" t="s">
        <v>110</v>
      </c>
      <c r="F260" t="s">
        <v>67</v>
      </c>
      <c r="G260" t="s">
        <v>68</v>
      </c>
      <c r="H260" t="s">
        <v>103</v>
      </c>
      <c r="I260" s="4">
        <v>3566.43</v>
      </c>
      <c r="J260">
        <v>9</v>
      </c>
      <c r="K260" s="2">
        <v>0.3</v>
      </c>
      <c r="L260" s="4">
        <v>530.70000000000005</v>
      </c>
      <c r="M260" t="s">
        <v>63</v>
      </c>
      <c r="N260" t="s">
        <v>76</v>
      </c>
      <c r="O260">
        <f>YEAR(Table1[[#This Row],[Order Date]])</f>
        <v>2025</v>
      </c>
      <c r="P260" t="str">
        <f>TEXT(Table1[[#This Row],[Order Date]],"mmmm")</f>
        <v>April</v>
      </c>
      <c r="Q260" t="str">
        <f>TEXT(Table1[[#This Row],[Order Date]],"mm")</f>
        <v>04</v>
      </c>
      <c r="R260" s="2">
        <f>Table1[[#This Row],[Profit]]/Table1[[#This Row],[Sales]]</f>
        <v>0.1488042664513253</v>
      </c>
      <c r="S260" t="str">
        <f t="shared" si="4"/>
        <v>High (21-30%)</v>
      </c>
    </row>
    <row r="261" spans="1:19" x14ac:dyDescent="0.2">
      <c r="A261" t="s">
        <v>721</v>
      </c>
      <c r="B261" s="3" t="s">
        <v>722</v>
      </c>
      <c r="C261" t="s">
        <v>402</v>
      </c>
      <c r="D261" t="s">
        <v>48</v>
      </c>
      <c r="E261" t="s">
        <v>84</v>
      </c>
      <c r="F261" t="s">
        <v>67</v>
      </c>
      <c r="G261" t="s">
        <v>85</v>
      </c>
      <c r="H261" t="s">
        <v>125</v>
      </c>
      <c r="I261" s="4">
        <v>555.78</v>
      </c>
      <c r="J261">
        <v>3</v>
      </c>
      <c r="K261" s="2">
        <v>0.1</v>
      </c>
      <c r="L261" s="4">
        <v>96.93</v>
      </c>
      <c r="M261" t="s">
        <v>117</v>
      </c>
      <c r="N261" t="s">
        <v>39</v>
      </c>
      <c r="O261">
        <f>YEAR(Table1[[#This Row],[Order Date]])</f>
        <v>2024</v>
      </c>
      <c r="P261" t="str">
        <f>TEXT(Table1[[#This Row],[Order Date]],"mmmm")</f>
        <v>April</v>
      </c>
      <c r="Q261" t="str">
        <f>TEXT(Table1[[#This Row],[Order Date]],"mm")</f>
        <v>04</v>
      </c>
      <c r="R261" s="2">
        <f>Table1[[#This Row],[Profit]]/Table1[[#This Row],[Sales]]</f>
        <v>0.17440354096944835</v>
      </c>
      <c r="S261" t="str">
        <f t="shared" si="4"/>
        <v>Low (1-10%)</v>
      </c>
    </row>
    <row r="262" spans="1:19" x14ac:dyDescent="0.2">
      <c r="A262" t="s">
        <v>723</v>
      </c>
      <c r="B262" s="3" t="s">
        <v>232</v>
      </c>
      <c r="C262" t="s">
        <v>637</v>
      </c>
      <c r="D262" t="s">
        <v>27</v>
      </c>
      <c r="E262" t="s">
        <v>61</v>
      </c>
      <c r="F262" t="s">
        <v>55</v>
      </c>
      <c r="G262" t="s">
        <v>98</v>
      </c>
      <c r="H262" t="s">
        <v>154</v>
      </c>
      <c r="I262" s="4">
        <v>6562.26</v>
      </c>
      <c r="J262">
        <v>9</v>
      </c>
      <c r="K262" s="2">
        <v>0.15</v>
      </c>
      <c r="L262" s="4">
        <v>638.41999999999996</v>
      </c>
      <c r="M262" t="s">
        <v>63</v>
      </c>
      <c r="N262" t="s">
        <v>76</v>
      </c>
      <c r="O262">
        <f>YEAR(Table1[[#This Row],[Order Date]])</f>
        <v>2024</v>
      </c>
      <c r="P262" t="str">
        <f>TEXT(Table1[[#This Row],[Order Date]],"mmmm")</f>
        <v>September</v>
      </c>
      <c r="Q262" t="str">
        <f>TEXT(Table1[[#This Row],[Order Date]],"mm")</f>
        <v>09</v>
      </c>
      <c r="R262" s="2">
        <f>Table1[[#This Row],[Profit]]/Table1[[#This Row],[Sales]]</f>
        <v>9.7286605529192674E-2</v>
      </c>
      <c r="S262" t="str">
        <f t="shared" si="4"/>
        <v>Medium (11-20%)</v>
      </c>
    </row>
    <row r="263" spans="1:19" x14ac:dyDescent="0.2">
      <c r="A263" t="s">
        <v>724</v>
      </c>
      <c r="B263" s="3" t="s">
        <v>624</v>
      </c>
      <c r="C263" t="s">
        <v>205</v>
      </c>
      <c r="D263" t="s">
        <v>17</v>
      </c>
      <c r="E263" t="s">
        <v>80</v>
      </c>
      <c r="F263" t="s">
        <v>67</v>
      </c>
      <c r="G263" t="s">
        <v>115</v>
      </c>
      <c r="H263" t="s">
        <v>116</v>
      </c>
      <c r="I263" s="4">
        <v>2862.05</v>
      </c>
      <c r="J263">
        <v>5</v>
      </c>
      <c r="K263" s="2">
        <v>0.25</v>
      </c>
      <c r="L263" s="4">
        <v>-123.84</v>
      </c>
      <c r="M263" t="s">
        <v>22</v>
      </c>
      <c r="N263" t="s">
        <v>76</v>
      </c>
      <c r="O263">
        <f>YEAR(Table1[[#This Row],[Order Date]])</f>
        <v>2024</v>
      </c>
      <c r="P263" t="str">
        <f>TEXT(Table1[[#This Row],[Order Date]],"mmmm")</f>
        <v>August</v>
      </c>
      <c r="Q263" t="str">
        <f>TEXT(Table1[[#This Row],[Order Date]],"mm")</f>
        <v>08</v>
      </c>
      <c r="R263" s="2">
        <f>Table1[[#This Row],[Profit]]/Table1[[#This Row],[Sales]]</f>
        <v>-4.3269684317185232E-2</v>
      </c>
      <c r="S263" t="str">
        <f t="shared" si="4"/>
        <v>High (21-30%)</v>
      </c>
    </row>
    <row r="264" spans="1:19" x14ac:dyDescent="0.2">
      <c r="A264" t="s">
        <v>725</v>
      </c>
      <c r="B264" s="3" t="s">
        <v>334</v>
      </c>
      <c r="C264" t="s">
        <v>159</v>
      </c>
      <c r="D264" t="s">
        <v>48</v>
      </c>
      <c r="E264" t="s">
        <v>73</v>
      </c>
      <c r="F264" t="s">
        <v>67</v>
      </c>
      <c r="G264" t="s">
        <v>68</v>
      </c>
      <c r="H264" t="s">
        <v>382</v>
      </c>
      <c r="I264" s="4">
        <v>1000.94</v>
      </c>
      <c r="J264">
        <v>2</v>
      </c>
      <c r="K264" s="2">
        <v>0.1</v>
      </c>
      <c r="L264" s="4">
        <v>176.34</v>
      </c>
      <c r="M264" t="s">
        <v>63</v>
      </c>
      <c r="N264" t="s">
        <v>39</v>
      </c>
      <c r="O264">
        <f>YEAR(Table1[[#This Row],[Order Date]])</f>
        <v>2025</v>
      </c>
      <c r="P264" t="str">
        <f>TEXT(Table1[[#This Row],[Order Date]],"mmmm")</f>
        <v>February</v>
      </c>
      <c r="Q264" t="str">
        <f>TEXT(Table1[[#This Row],[Order Date]],"mm")</f>
        <v>02</v>
      </c>
      <c r="R264" s="2">
        <f>Table1[[#This Row],[Profit]]/Table1[[#This Row],[Sales]]</f>
        <v>0.17617439606769636</v>
      </c>
      <c r="S264" t="str">
        <f t="shared" si="4"/>
        <v>Low (1-10%)</v>
      </c>
    </row>
    <row r="265" spans="1:19" x14ac:dyDescent="0.2">
      <c r="A265" t="s">
        <v>726</v>
      </c>
      <c r="B265" s="3" t="s">
        <v>610</v>
      </c>
      <c r="C265" t="s">
        <v>727</v>
      </c>
      <c r="D265" t="s">
        <v>48</v>
      </c>
      <c r="E265" t="s">
        <v>73</v>
      </c>
      <c r="F265" t="s">
        <v>55</v>
      </c>
      <c r="G265" t="s">
        <v>74</v>
      </c>
      <c r="H265" t="s">
        <v>133</v>
      </c>
      <c r="I265" s="4">
        <v>2710.4</v>
      </c>
      <c r="J265">
        <v>8</v>
      </c>
      <c r="K265" s="2">
        <v>0.15</v>
      </c>
      <c r="L265" s="4">
        <v>534.28</v>
      </c>
      <c r="M265" t="s">
        <v>195</v>
      </c>
      <c r="N265" t="s">
        <v>39</v>
      </c>
      <c r="O265">
        <f>YEAR(Table1[[#This Row],[Order Date]])</f>
        <v>2025</v>
      </c>
      <c r="P265" t="str">
        <f>TEXT(Table1[[#This Row],[Order Date]],"mmmm")</f>
        <v>January</v>
      </c>
      <c r="Q265" t="str">
        <f>TEXT(Table1[[#This Row],[Order Date]],"mm")</f>
        <v>01</v>
      </c>
      <c r="R265" s="2">
        <f>Table1[[#This Row],[Profit]]/Table1[[#This Row],[Sales]]</f>
        <v>0.19712219598583233</v>
      </c>
      <c r="S265" t="str">
        <f t="shared" si="4"/>
        <v>Medium (11-20%)</v>
      </c>
    </row>
    <row r="266" spans="1:19" x14ac:dyDescent="0.2">
      <c r="A266" t="s">
        <v>728</v>
      </c>
      <c r="B266" s="3" t="s">
        <v>729</v>
      </c>
      <c r="C266" t="s">
        <v>35</v>
      </c>
      <c r="D266" t="s">
        <v>17</v>
      </c>
      <c r="E266" t="s">
        <v>97</v>
      </c>
      <c r="F266" t="s">
        <v>67</v>
      </c>
      <c r="G266" t="s">
        <v>85</v>
      </c>
      <c r="H266" t="s">
        <v>86</v>
      </c>
      <c r="I266" s="4">
        <v>2606.6999999999998</v>
      </c>
      <c r="J266">
        <v>5</v>
      </c>
      <c r="K266" s="2">
        <v>0.3</v>
      </c>
      <c r="L266" s="4">
        <v>-27.72</v>
      </c>
      <c r="M266" t="s">
        <v>38</v>
      </c>
      <c r="N266" t="s">
        <v>23</v>
      </c>
      <c r="O266">
        <f>YEAR(Table1[[#This Row],[Order Date]])</f>
        <v>2025</v>
      </c>
      <c r="P266" t="str">
        <f>TEXT(Table1[[#This Row],[Order Date]],"mmmm")</f>
        <v>January</v>
      </c>
      <c r="Q266" t="str">
        <f>TEXT(Table1[[#This Row],[Order Date]],"mm")</f>
        <v>01</v>
      </c>
      <c r="R266" s="2">
        <f>Table1[[#This Row],[Profit]]/Table1[[#This Row],[Sales]]</f>
        <v>-1.0634135113361722E-2</v>
      </c>
      <c r="S266" t="str">
        <f t="shared" si="4"/>
        <v>High (21-30%)</v>
      </c>
    </row>
    <row r="267" spans="1:19" x14ac:dyDescent="0.2">
      <c r="A267" t="s">
        <v>730</v>
      </c>
      <c r="B267" s="3" t="s">
        <v>168</v>
      </c>
      <c r="C267" t="s">
        <v>316</v>
      </c>
      <c r="D267" t="s">
        <v>48</v>
      </c>
      <c r="E267" t="s">
        <v>84</v>
      </c>
      <c r="F267" t="s">
        <v>19</v>
      </c>
      <c r="G267" t="s">
        <v>36</v>
      </c>
      <c r="H267" t="s">
        <v>222</v>
      </c>
      <c r="I267" s="4">
        <v>316.25</v>
      </c>
      <c r="J267">
        <v>5</v>
      </c>
      <c r="K267" s="2">
        <v>0</v>
      </c>
      <c r="L267" s="4">
        <v>30.03</v>
      </c>
      <c r="M267" t="s">
        <v>117</v>
      </c>
      <c r="N267" t="s">
        <v>23</v>
      </c>
      <c r="O267">
        <f>YEAR(Table1[[#This Row],[Order Date]])</f>
        <v>2025</v>
      </c>
      <c r="P267" t="str">
        <f>TEXT(Table1[[#This Row],[Order Date]],"mmmm")</f>
        <v>April</v>
      </c>
      <c r="Q267" t="str">
        <f>TEXT(Table1[[#This Row],[Order Date]],"mm")</f>
        <v>04</v>
      </c>
      <c r="R267" s="2">
        <f>Table1[[#This Row],[Profit]]/Table1[[#This Row],[Sales]]</f>
        <v>9.4956521739130439E-2</v>
      </c>
      <c r="S267" t="str">
        <f t="shared" si="4"/>
        <v>No Discount</v>
      </c>
    </row>
    <row r="268" spans="1:19" x14ac:dyDescent="0.2">
      <c r="A268" t="s">
        <v>731</v>
      </c>
      <c r="B268" s="3" t="s">
        <v>732</v>
      </c>
      <c r="C268" t="s">
        <v>733</v>
      </c>
      <c r="D268" t="s">
        <v>137</v>
      </c>
      <c r="E268" t="s">
        <v>242</v>
      </c>
      <c r="F268" t="s">
        <v>67</v>
      </c>
      <c r="G268" t="s">
        <v>68</v>
      </c>
      <c r="H268" t="s">
        <v>69</v>
      </c>
      <c r="I268" s="4">
        <v>1954.28</v>
      </c>
      <c r="J268">
        <v>4</v>
      </c>
      <c r="K268" s="2">
        <v>0.1</v>
      </c>
      <c r="L268" s="4">
        <v>330.33</v>
      </c>
      <c r="M268" t="s">
        <v>87</v>
      </c>
      <c r="N268" t="s">
        <v>76</v>
      </c>
      <c r="O268">
        <f>YEAR(Table1[[#This Row],[Order Date]])</f>
        <v>2024</v>
      </c>
      <c r="P268" t="str">
        <f>TEXT(Table1[[#This Row],[Order Date]],"mmmm")</f>
        <v>December</v>
      </c>
      <c r="Q268" t="str">
        <f>TEXT(Table1[[#This Row],[Order Date]],"mm")</f>
        <v>12</v>
      </c>
      <c r="R268" s="2">
        <f>Table1[[#This Row],[Profit]]/Table1[[#This Row],[Sales]]</f>
        <v>0.16902900300878071</v>
      </c>
      <c r="S268" t="str">
        <f t="shared" si="4"/>
        <v>Low (1-10%)</v>
      </c>
    </row>
    <row r="269" spans="1:19" x14ac:dyDescent="0.2">
      <c r="A269" t="s">
        <v>734</v>
      </c>
      <c r="B269" s="3" t="s">
        <v>224</v>
      </c>
      <c r="C269" t="s">
        <v>218</v>
      </c>
      <c r="D269" t="s">
        <v>48</v>
      </c>
      <c r="E269" t="s">
        <v>49</v>
      </c>
      <c r="F269" t="s">
        <v>55</v>
      </c>
      <c r="G269" t="s">
        <v>98</v>
      </c>
      <c r="H269" t="s">
        <v>99</v>
      </c>
      <c r="I269" s="4">
        <v>9531.9</v>
      </c>
      <c r="J269">
        <v>10</v>
      </c>
      <c r="K269" s="2">
        <v>0.05</v>
      </c>
      <c r="L269" s="4">
        <v>1975.88</v>
      </c>
      <c r="M269" t="s">
        <v>44</v>
      </c>
      <c r="N269" t="s">
        <v>32</v>
      </c>
      <c r="O269">
        <f>YEAR(Table1[[#This Row],[Order Date]])</f>
        <v>2025</v>
      </c>
      <c r="P269" t="str">
        <f>TEXT(Table1[[#This Row],[Order Date]],"mmmm")</f>
        <v>May</v>
      </c>
      <c r="Q269" t="str">
        <f>TEXT(Table1[[#This Row],[Order Date]],"mm")</f>
        <v>05</v>
      </c>
      <c r="R269" s="2">
        <f>Table1[[#This Row],[Profit]]/Table1[[#This Row],[Sales]]</f>
        <v>0.20729130603552284</v>
      </c>
      <c r="S269" t="str">
        <f t="shared" si="4"/>
        <v>Low (1-10%)</v>
      </c>
    </row>
    <row r="270" spans="1:19" x14ac:dyDescent="0.2">
      <c r="A270" t="s">
        <v>735</v>
      </c>
      <c r="B270" s="3" t="s">
        <v>736</v>
      </c>
      <c r="C270" t="s">
        <v>175</v>
      </c>
      <c r="D270" t="s">
        <v>27</v>
      </c>
      <c r="E270" t="s">
        <v>124</v>
      </c>
      <c r="F270" t="s">
        <v>19</v>
      </c>
      <c r="G270" t="s">
        <v>36</v>
      </c>
      <c r="H270" t="s">
        <v>37</v>
      </c>
      <c r="I270" s="4">
        <v>4440.7</v>
      </c>
      <c r="J270">
        <v>5</v>
      </c>
      <c r="K270" s="2">
        <v>0.3</v>
      </c>
      <c r="L270" s="4">
        <v>614.54</v>
      </c>
      <c r="M270" t="s">
        <v>44</v>
      </c>
      <c r="N270" t="s">
        <v>76</v>
      </c>
      <c r="O270">
        <f>YEAR(Table1[[#This Row],[Order Date]])</f>
        <v>2024</v>
      </c>
      <c r="P270" t="str">
        <f>TEXT(Table1[[#This Row],[Order Date]],"mmmm")</f>
        <v>July</v>
      </c>
      <c r="Q270" t="str">
        <f>TEXT(Table1[[#This Row],[Order Date]],"mm")</f>
        <v>07</v>
      </c>
      <c r="R270" s="2">
        <f>Table1[[#This Row],[Profit]]/Table1[[#This Row],[Sales]]</f>
        <v>0.13838809196748261</v>
      </c>
      <c r="S270" t="str">
        <f t="shared" si="4"/>
        <v>High (21-30%)</v>
      </c>
    </row>
    <row r="271" spans="1:19" x14ac:dyDescent="0.2">
      <c r="A271" t="s">
        <v>737</v>
      </c>
      <c r="B271" s="3" t="s">
        <v>521</v>
      </c>
      <c r="C271" t="s">
        <v>26</v>
      </c>
      <c r="D271" t="s">
        <v>27</v>
      </c>
      <c r="E271" t="s">
        <v>43</v>
      </c>
      <c r="F271" t="s">
        <v>67</v>
      </c>
      <c r="G271" t="s">
        <v>115</v>
      </c>
      <c r="H271" t="s">
        <v>178</v>
      </c>
      <c r="I271" s="4">
        <v>3007.44</v>
      </c>
      <c r="J271">
        <v>6</v>
      </c>
      <c r="K271" s="2">
        <v>0.2</v>
      </c>
      <c r="L271" s="4">
        <v>-115.81</v>
      </c>
      <c r="M271" t="s">
        <v>117</v>
      </c>
      <c r="N271" t="s">
        <v>76</v>
      </c>
      <c r="O271">
        <f>YEAR(Table1[[#This Row],[Order Date]])</f>
        <v>2024</v>
      </c>
      <c r="P271" t="str">
        <f>TEXT(Table1[[#This Row],[Order Date]],"mmmm")</f>
        <v>March</v>
      </c>
      <c r="Q271" t="str">
        <f>TEXT(Table1[[#This Row],[Order Date]],"mm")</f>
        <v>03</v>
      </c>
      <c r="R271" s="2">
        <f>Table1[[#This Row],[Profit]]/Table1[[#This Row],[Sales]]</f>
        <v>-3.8507833905248319E-2</v>
      </c>
      <c r="S271" t="str">
        <f t="shared" si="4"/>
        <v>Medium (11-20%)</v>
      </c>
    </row>
    <row r="272" spans="1:19" x14ac:dyDescent="0.2">
      <c r="A272" t="s">
        <v>738</v>
      </c>
      <c r="B272" s="3" t="s">
        <v>739</v>
      </c>
      <c r="C272" t="s">
        <v>583</v>
      </c>
      <c r="D272" t="s">
        <v>27</v>
      </c>
      <c r="E272" t="s">
        <v>61</v>
      </c>
      <c r="F272" t="s">
        <v>67</v>
      </c>
      <c r="G272" t="s">
        <v>115</v>
      </c>
      <c r="H272" t="s">
        <v>178</v>
      </c>
      <c r="I272" s="4">
        <v>6130.08</v>
      </c>
      <c r="J272">
        <v>6</v>
      </c>
      <c r="K272" s="2">
        <v>0.1</v>
      </c>
      <c r="L272" s="4">
        <v>384.87</v>
      </c>
      <c r="M272" t="s">
        <v>195</v>
      </c>
      <c r="N272" t="s">
        <v>32</v>
      </c>
      <c r="O272">
        <f>YEAR(Table1[[#This Row],[Order Date]])</f>
        <v>2024</v>
      </c>
      <c r="P272" t="str">
        <f>TEXT(Table1[[#This Row],[Order Date]],"mmmm")</f>
        <v>April</v>
      </c>
      <c r="Q272" t="str">
        <f>TEXT(Table1[[#This Row],[Order Date]],"mm")</f>
        <v>04</v>
      </c>
      <c r="R272" s="2">
        <f>Table1[[#This Row],[Profit]]/Table1[[#This Row],[Sales]]</f>
        <v>6.2783846214078773E-2</v>
      </c>
      <c r="S272" t="str">
        <f t="shared" si="4"/>
        <v>Low (1-10%)</v>
      </c>
    </row>
    <row r="273" spans="1:19" x14ac:dyDescent="0.2">
      <c r="A273" t="s">
        <v>740</v>
      </c>
      <c r="B273" s="3" t="s">
        <v>741</v>
      </c>
      <c r="C273" t="s">
        <v>583</v>
      </c>
      <c r="D273" t="s">
        <v>48</v>
      </c>
      <c r="E273" t="s">
        <v>110</v>
      </c>
      <c r="F273" t="s">
        <v>19</v>
      </c>
      <c r="G273" t="s">
        <v>36</v>
      </c>
      <c r="H273" t="s">
        <v>111</v>
      </c>
      <c r="I273" s="4">
        <v>325.98</v>
      </c>
      <c r="J273">
        <v>1</v>
      </c>
      <c r="K273" s="2">
        <v>0.15</v>
      </c>
      <c r="L273" s="4">
        <v>4.68</v>
      </c>
      <c r="M273" t="s">
        <v>31</v>
      </c>
      <c r="N273" t="s">
        <v>76</v>
      </c>
      <c r="O273">
        <f>YEAR(Table1[[#This Row],[Order Date]])</f>
        <v>2024</v>
      </c>
      <c r="P273" t="str">
        <f>TEXT(Table1[[#This Row],[Order Date]],"mmmm")</f>
        <v>February</v>
      </c>
      <c r="Q273" t="str">
        <f>TEXT(Table1[[#This Row],[Order Date]],"mm")</f>
        <v>02</v>
      </c>
      <c r="R273" s="2">
        <f>Table1[[#This Row],[Profit]]/Table1[[#This Row],[Sales]]</f>
        <v>1.4356709000552179E-2</v>
      </c>
      <c r="S273" t="str">
        <f t="shared" si="4"/>
        <v>Medium (11-20%)</v>
      </c>
    </row>
    <row r="274" spans="1:19" x14ac:dyDescent="0.2">
      <c r="A274" t="s">
        <v>742</v>
      </c>
      <c r="B274" s="3" t="s">
        <v>568</v>
      </c>
      <c r="C274" t="s">
        <v>186</v>
      </c>
      <c r="D274" t="s">
        <v>48</v>
      </c>
      <c r="E274" t="s">
        <v>84</v>
      </c>
      <c r="F274" t="s">
        <v>67</v>
      </c>
      <c r="G274" t="s">
        <v>115</v>
      </c>
      <c r="H274" t="s">
        <v>116</v>
      </c>
      <c r="I274" s="4">
        <v>78.540000000000006</v>
      </c>
      <c r="J274">
        <v>2</v>
      </c>
      <c r="K274" s="2">
        <v>0.15</v>
      </c>
      <c r="L274" s="4">
        <v>9.51</v>
      </c>
      <c r="M274" t="s">
        <v>107</v>
      </c>
      <c r="N274" t="s">
        <v>23</v>
      </c>
      <c r="O274">
        <f>YEAR(Table1[[#This Row],[Order Date]])</f>
        <v>2025</v>
      </c>
      <c r="P274" t="str">
        <f>TEXT(Table1[[#This Row],[Order Date]],"mmmm")</f>
        <v>December</v>
      </c>
      <c r="Q274" t="str">
        <f>TEXT(Table1[[#This Row],[Order Date]],"mm")</f>
        <v>12</v>
      </c>
      <c r="R274" s="2">
        <f>Table1[[#This Row],[Profit]]/Table1[[#This Row],[Sales]]</f>
        <v>0.12108479755538577</v>
      </c>
      <c r="S274" t="str">
        <f t="shared" si="4"/>
        <v>Medium (11-20%)</v>
      </c>
    </row>
    <row r="275" spans="1:19" x14ac:dyDescent="0.2">
      <c r="A275" t="s">
        <v>743</v>
      </c>
      <c r="B275" s="3" t="s">
        <v>744</v>
      </c>
      <c r="C275" t="s">
        <v>745</v>
      </c>
      <c r="D275" t="s">
        <v>17</v>
      </c>
      <c r="E275" t="s">
        <v>54</v>
      </c>
      <c r="F275" t="s">
        <v>19</v>
      </c>
      <c r="G275" t="s">
        <v>20</v>
      </c>
      <c r="H275" t="s">
        <v>239</v>
      </c>
      <c r="I275" s="4">
        <v>2913.24</v>
      </c>
      <c r="J275">
        <v>3</v>
      </c>
      <c r="K275" s="2">
        <v>0.3</v>
      </c>
      <c r="L275" s="4">
        <v>-141.18</v>
      </c>
      <c r="M275" t="s">
        <v>195</v>
      </c>
      <c r="N275" t="s">
        <v>39</v>
      </c>
      <c r="O275">
        <f>YEAR(Table1[[#This Row],[Order Date]])</f>
        <v>2024</v>
      </c>
      <c r="P275" t="str">
        <f>TEXT(Table1[[#This Row],[Order Date]],"mmmm")</f>
        <v>June</v>
      </c>
      <c r="Q275" t="str">
        <f>TEXT(Table1[[#This Row],[Order Date]],"mm")</f>
        <v>06</v>
      </c>
      <c r="R275" s="2">
        <f>Table1[[#This Row],[Profit]]/Table1[[#This Row],[Sales]]</f>
        <v>-4.846150677596079E-2</v>
      </c>
      <c r="S275" t="str">
        <f t="shared" si="4"/>
        <v>High (21-30%)</v>
      </c>
    </row>
    <row r="276" spans="1:19" x14ac:dyDescent="0.2">
      <c r="A276" t="s">
        <v>746</v>
      </c>
      <c r="B276" s="3" t="s">
        <v>495</v>
      </c>
      <c r="C276" t="s">
        <v>367</v>
      </c>
      <c r="D276" t="s">
        <v>27</v>
      </c>
      <c r="E276" t="s">
        <v>43</v>
      </c>
      <c r="F276" t="s">
        <v>55</v>
      </c>
      <c r="G276" t="s">
        <v>98</v>
      </c>
      <c r="H276" t="s">
        <v>99</v>
      </c>
      <c r="I276" s="4">
        <v>9035.2800000000007</v>
      </c>
      <c r="J276">
        <v>8</v>
      </c>
      <c r="K276" s="2">
        <v>0.1</v>
      </c>
      <c r="L276" s="4">
        <v>293</v>
      </c>
      <c r="M276" t="s">
        <v>63</v>
      </c>
      <c r="N276" t="s">
        <v>32</v>
      </c>
      <c r="O276">
        <f>YEAR(Table1[[#This Row],[Order Date]])</f>
        <v>2024</v>
      </c>
      <c r="P276" t="str">
        <f>TEXT(Table1[[#This Row],[Order Date]],"mmmm")</f>
        <v>November</v>
      </c>
      <c r="Q276" t="str">
        <f>TEXT(Table1[[#This Row],[Order Date]],"mm")</f>
        <v>11</v>
      </c>
      <c r="R276" s="2">
        <f>Table1[[#This Row],[Profit]]/Table1[[#This Row],[Sales]]</f>
        <v>3.242843608609805E-2</v>
      </c>
      <c r="S276" t="str">
        <f t="shared" si="4"/>
        <v>Low (1-10%)</v>
      </c>
    </row>
    <row r="277" spans="1:19" x14ac:dyDescent="0.2">
      <c r="A277" t="s">
        <v>747</v>
      </c>
      <c r="B277" s="3" t="s">
        <v>748</v>
      </c>
      <c r="C277" t="s">
        <v>749</v>
      </c>
      <c r="D277" t="s">
        <v>137</v>
      </c>
      <c r="E277" t="s">
        <v>142</v>
      </c>
      <c r="F277" t="s">
        <v>55</v>
      </c>
      <c r="G277" t="s">
        <v>98</v>
      </c>
      <c r="H277" t="s">
        <v>154</v>
      </c>
      <c r="I277" s="4">
        <v>8986.24</v>
      </c>
      <c r="J277">
        <v>8</v>
      </c>
      <c r="K277" s="2">
        <v>0.2</v>
      </c>
      <c r="L277" s="4">
        <v>103.91</v>
      </c>
      <c r="M277" t="s">
        <v>63</v>
      </c>
      <c r="N277" t="s">
        <v>39</v>
      </c>
      <c r="O277">
        <f>YEAR(Table1[[#This Row],[Order Date]])</f>
        <v>2025</v>
      </c>
      <c r="P277" t="str">
        <f>TEXT(Table1[[#This Row],[Order Date]],"mmmm")</f>
        <v>September</v>
      </c>
      <c r="Q277" t="str">
        <f>TEXT(Table1[[#This Row],[Order Date]],"mm")</f>
        <v>09</v>
      </c>
      <c r="R277" s="2">
        <f>Table1[[#This Row],[Profit]]/Table1[[#This Row],[Sales]]</f>
        <v>1.156323445623531E-2</v>
      </c>
      <c r="S277" t="str">
        <f t="shared" si="4"/>
        <v>Medium (11-20%)</v>
      </c>
    </row>
    <row r="278" spans="1:19" x14ac:dyDescent="0.2">
      <c r="A278" t="s">
        <v>750</v>
      </c>
      <c r="B278" s="3" t="s">
        <v>751</v>
      </c>
      <c r="C278" t="s">
        <v>551</v>
      </c>
      <c r="D278" t="s">
        <v>17</v>
      </c>
      <c r="E278" t="s">
        <v>54</v>
      </c>
      <c r="F278" t="s">
        <v>67</v>
      </c>
      <c r="G278" t="s">
        <v>115</v>
      </c>
      <c r="H278" t="s">
        <v>178</v>
      </c>
      <c r="I278" s="4">
        <v>9611.82</v>
      </c>
      <c r="J278">
        <v>9</v>
      </c>
      <c r="K278" s="2">
        <v>0</v>
      </c>
      <c r="L278" s="4">
        <v>3432.98</v>
      </c>
      <c r="M278" t="s">
        <v>107</v>
      </c>
      <c r="N278" t="s">
        <v>76</v>
      </c>
      <c r="O278">
        <f>YEAR(Table1[[#This Row],[Order Date]])</f>
        <v>2025</v>
      </c>
      <c r="P278" t="str">
        <f>TEXT(Table1[[#This Row],[Order Date]],"mmmm")</f>
        <v>January</v>
      </c>
      <c r="Q278" t="str">
        <f>TEXT(Table1[[#This Row],[Order Date]],"mm")</f>
        <v>01</v>
      </c>
      <c r="R278" s="2">
        <f>Table1[[#This Row],[Profit]]/Table1[[#This Row],[Sales]]</f>
        <v>0.35716232721794627</v>
      </c>
      <c r="S278" t="str">
        <f t="shared" si="4"/>
        <v>No Discount</v>
      </c>
    </row>
    <row r="279" spans="1:19" x14ac:dyDescent="0.2">
      <c r="A279" t="s">
        <v>752</v>
      </c>
      <c r="B279" s="3" t="s">
        <v>753</v>
      </c>
      <c r="C279" t="s">
        <v>343</v>
      </c>
      <c r="D279" t="s">
        <v>27</v>
      </c>
      <c r="E279" t="s">
        <v>28</v>
      </c>
      <c r="F279" t="s">
        <v>55</v>
      </c>
      <c r="G279" t="s">
        <v>98</v>
      </c>
      <c r="H279" t="s">
        <v>154</v>
      </c>
      <c r="I279" s="4">
        <v>6228.12</v>
      </c>
      <c r="J279">
        <v>6</v>
      </c>
      <c r="K279" s="2">
        <v>0</v>
      </c>
      <c r="L279" s="4">
        <v>1660.22</v>
      </c>
      <c r="M279" t="s">
        <v>63</v>
      </c>
      <c r="N279" t="s">
        <v>32</v>
      </c>
      <c r="O279">
        <f>YEAR(Table1[[#This Row],[Order Date]])</f>
        <v>2024</v>
      </c>
      <c r="P279" t="str">
        <f>TEXT(Table1[[#This Row],[Order Date]],"mmmm")</f>
        <v>September</v>
      </c>
      <c r="Q279" t="str">
        <f>TEXT(Table1[[#This Row],[Order Date]],"mm")</f>
        <v>09</v>
      </c>
      <c r="R279" s="2">
        <f>Table1[[#This Row],[Profit]]/Table1[[#This Row],[Sales]]</f>
        <v>0.2665684026640463</v>
      </c>
      <c r="S279" t="str">
        <f t="shared" si="4"/>
        <v>No Discount</v>
      </c>
    </row>
    <row r="280" spans="1:19" x14ac:dyDescent="0.2">
      <c r="A280" t="s">
        <v>754</v>
      </c>
      <c r="B280" s="3" t="s">
        <v>553</v>
      </c>
      <c r="C280" t="s">
        <v>120</v>
      </c>
      <c r="D280" t="s">
        <v>48</v>
      </c>
      <c r="E280" t="s">
        <v>49</v>
      </c>
      <c r="F280" t="s">
        <v>19</v>
      </c>
      <c r="G280" t="s">
        <v>20</v>
      </c>
      <c r="H280" t="s">
        <v>21</v>
      </c>
      <c r="I280" s="4">
        <v>3499.32</v>
      </c>
      <c r="J280">
        <v>6</v>
      </c>
      <c r="K280" s="2">
        <v>0</v>
      </c>
      <c r="L280" s="4">
        <v>507.36</v>
      </c>
      <c r="M280" t="s">
        <v>38</v>
      </c>
      <c r="N280" t="s">
        <v>76</v>
      </c>
      <c r="O280">
        <f>YEAR(Table1[[#This Row],[Order Date]])</f>
        <v>2024</v>
      </c>
      <c r="P280" t="str">
        <f>TEXT(Table1[[#This Row],[Order Date]],"mmmm")</f>
        <v>April</v>
      </c>
      <c r="Q280" t="str">
        <f>TEXT(Table1[[#This Row],[Order Date]],"mm")</f>
        <v>04</v>
      </c>
      <c r="R280" s="2">
        <f>Table1[[#This Row],[Profit]]/Table1[[#This Row],[Sales]]</f>
        <v>0.1449881691300024</v>
      </c>
      <c r="S280" t="str">
        <f t="shared" si="4"/>
        <v>No Discount</v>
      </c>
    </row>
    <row r="281" spans="1:19" x14ac:dyDescent="0.2">
      <c r="A281" t="s">
        <v>755</v>
      </c>
      <c r="B281" s="3" t="s">
        <v>527</v>
      </c>
      <c r="C281" t="s">
        <v>343</v>
      </c>
      <c r="D281" t="s">
        <v>17</v>
      </c>
      <c r="E281" t="s">
        <v>54</v>
      </c>
      <c r="F281" t="s">
        <v>19</v>
      </c>
      <c r="G281" t="s">
        <v>29</v>
      </c>
      <c r="H281" t="s">
        <v>50</v>
      </c>
      <c r="I281" s="4">
        <v>7594.02</v>
      </c>
      <c r="J281">
        <v>7</v>
      </c>
      <c r="K281" s="2">
        <v>0.15</v>
      </c>
      <c r="L281" s="4">
        <v>516.94000000000005</v>
      </c>
      <c r="M281" t="s">
        <v>143</v>
      </c>
      <c r="N281" t="s">
        <v>76</v>
      </c>
      <c r="O281">
        <f>YEAR(Table1[[#This Row],[Order Date]])</f>
        <v>2025</v>
      </c>
      <c r="P281" t="str">
        <f>TEXT(Table1[[#This Row],[Order Date]],"mmmm")</f>
        <v>May</v>
      </c>
      <c r="Q281" t="str">
        <f>TEXT(Table1[[#This Row],[Order Date]],"mm")</f>
        <v>05</v>
      </c>
      <c r="R281" s="2">
        <f>Table1[[#This Row],[Profit]]/Table1[[#This Row],[Sales]]</f>
        <v>6.8071982955009339E-2</v>
      </c>
      <c r="S281" t="str">
        <f t="shared" si="4"/>
        <v>Medium (11-20%)</v>
      </c>
    </row>
    <row r="282" spans="1:19" x14ac:dyDescent="0.2">
      <c r="A282" t="s">
        <v>756</v>
      </c>
      <c r="B282" s="3" t="s">
        <v>757</v>
      </c>
      <c r="C282" t="s">
        <v>198</v>
      </c>
      <c r="D282" t="s">
        <v>27</v>
      </c>
      <c r="E282" t="s">
        <v>61</v>
      </c>
      <c r="F282" t="s">
        <v>55</v>
      </c>
      <c r="G282" t="s">
        <v>74</v>
      </c>
      <c r="H282" t="s">
        <v>75</v>
      </c>
      <c r="I282" s="4">
        <v>6642.08</v>
      </c>
      <c r="J282">
        <v>8</v>
      </c>
      <c r="K282" s="2">
        <v>0.2</v>
      </c>
      <c r="L282" s="4">
        <v>790.12</v>
      </c>
      <c r="M282" t="s">
        <v>143</v>
      </c>
      <c r="N282" t="s">
        <v>23</v>
      </c>
      <c r="O282">
        <f>YEAR(Table1[[#This Row],[Order Date]])</f>
        <v>2025</v>
      </c>
      <c r="P282" t="str">
        <f>TEXT(Table1[[#This Row],[Order Date]],"mmmm")</f>
        <v>June</v>
      </c>
      <c r="Q282" t="str">
        <f>TEXT(Table1[[#This Row],[Order Date]],"mm")</f>
        <v>06</v>
      </c>
      <c r="R282" s="2">
        <f>Table1[[#This Row],[Profit]]/Table1[[#This Row],[Sales]]</f>
        <v>0.11895671235516585</v>
      </c>
      <c r="S282" t="str">
        <f t="shared" si="4"/>
        <v>Medium (11-20%)</v>
      </c>
    </row>
    <row r="283" spans="1:19" x14ac:dyDescent="0.2">
      <c r="A283" t="s">
        <v>758</v>
      </c>
      <c r="B283" s="3" t="s">
        <v>145</v>
      </c>
      <c r="C283" t="s">
        <v>259</v>
      </c>
      <c r="D283" t="s">
        <v>137</v>
      </c>
      <c r="E283" t="s">
        <v>142</v>
      </c>
      <c r="F283" t="s">
        <v>55</v>
      </c>
      <c r="G283" t="s">
        <v>74</v>
      </c>
      <c r="H283" t="s">
        <v>133</v>
      </c>
      <c r="I283" s="4">
        <v>3514.35</v>
      </c>
      <c r="J283">
        <v>5</v>
      </c>
      <c r="K283" s="2">
        <v>0.25</v>
      </c>
      <c r="L283" s="4">
        <v>-171.13</v>
      </c>
      <c r="M283" t="s">
        <v>87</v>
      </c>
      <c r="N283" t="s">
        <v>76</v>
      </c>
      <c r="O283">
        <f>YEAR(Table1[[#This Row],[Order Date]])</f>
        <v>2024</v>
      </c>
      <c r="P283" t="str">
        <f>TEXT(Table1[[#This Row],[Order Date]],"mmmm")</f>
        <v>December</v>
      </c>
      <c r="Q283" t="str">
        <f>TEXT(Table1[[#This Row],[Order Date]],"mm")</f>
        <v>12</v>
      </c>
      <c r="R283" s="2">
        <f>Table1[[#This Row],[Profit]]/Table1[[#This Row],[Sales]]</f>
        <v>-4.8694637699716874E-2</v>
      </c>
      <c r="S283" t="str">
        <f t="shared" si="4"/>
        <v>High (21-30%)</v>
      </c>
    </row>
    <row r="284" spans="1:19" x14ac:dyDescent="0.2">
      <c r="A284" t="s">
        <v>759</v>
      </c>
      <c r="B284" s="3" t="s">
        <v>760</v>
      </c>
      <c r="C284" t="s">
        <v>701</v>
      </c>
      <c r="D284" t="s">
        <v>48</v>
      </c>
      <c r="E284" t="s">
        <v>84</v>
      </c>
      <c r="F284" t="s">
        <v>55</v>
      </c>
      <c r="G284" t="s">
        <v>74</v>
      </c>
      <c r="H284" t="s">
        <v>133</v>
      </c>
      <c r="I284" s="4">
        <v>5785.38</v>
      </c>
      <c r="J284">
        <v>9</v>
      </c>
      <c r="K284" s="2">
        <v>0.25</v>
      </c>
      <c r="L284" s="4">
        <v>-984.2</v>
      </c>
      <c r="M284" t="s">
        <v>107</v>
      </c>
      <c r="N284" t="s">
        <v>23</v>
      </c>
      <c r="O284">
        <f>YEAR(Table1[[#This Row],[Order Date]])</f>
        <v>2024</v>
      </c>
      <c r="P284" t="str">
        <f>TEXT(Table1[[#This Row],[Order Date]],"mmmm")</f>
        <v>April</v>
      </c>
      <c r="Q284" t="str">
        <f>TEXT(Table1[[#This Row],[Order Date]],"mm")</f>
        <v>04</v>
      </c>
      <c r="R284" s="2">
        <f>Table1[[#This Row],[Profit]]/Table1[[#This Row],[Sales]]</f>
        <v>-0.17011847104252445</v>
      </c>
      <c r="S284" t="str">
        <f t="shared" si="4"/>
        <v>High (21-30%)</v>
      </c>
    </row>
    <row r="285" spans="1:19" x14ac:dyDescent="0.2">
      <c r="A285" t="s">
        <v>761</v>
      </c>
      <c r="B285" s="3" t="s">
        <v>417</v>
      </c>
      <c r="C285" t="s">
        <v>350</v>
      </c>
      <c r="D285" t="s">
        <v>48</v>
      </c>
      <c r="E285" t="s">
        <v>110</v>
      </c>
      <c r="F285" t="s">
        <v>19</v>
      </c>
      <c r="G285" t="s">
        <v>36</v>
      </c>
      <c r="H285" t="s">
        <v>222</v>
      </c>
      <c r="I285" s="4">
        <v>1766.61</v>
      </c>
      <c r="J285">
        <v>9</v>
      </c>
      <c r="K285" s="2">
        <v>0.25</v>
      </c>
      <c r="L285" s="4">
        <v>-227.11</v>
      </c>
      <c r="M285" t="s">
        <v>22</v>
      </c>
      <c r="N285" t="s">
        <v>23</v>
      </c>
      <c r="O285">
        <f>YEAR(Table1[[#This Row],[Order Date]])</f>
        <v>2024</v>
      </c>
      <c r="P285" t="str">
        <f>TEXT(Table1[[#This Row],[Order Date]],"mmmm")</f>
        <v>March</v>
      </c>
      <c r="Q285" t="str">
        <f>TEXT(Table1[[#This Row],[Order Date]],"mm")</f>
        <v>03</v>
      </c>
      <c r="R285" s="2">
        <f>Table1[[#This Row],[Profit]]/Table1[[#This Row],[Sales]]</f>
        <v>-0.1285569537136097</v>
      </c>
      <c r="S285" t="str">
        <f t="shared" si="4"/>
        <v>High (21-30%)</v>
      </c>
    </row>
    <row r="286" spans="1:19" x14ac:dyDescent="0.2">
      <c r="A286" t="s">
        <v>762</v>
      </c>
      <c r="B286" s="3" t="s">
        <v>270</v>
      </c>
      <c r="C286" t="s">
        <v>60</v>
      </c>
      <c r="D286" t="s">
        <v>48</v>
      </c>
      <c r="E286" t="s">
        <v>73</v>
      </c>
      <c r="F286" t="s">
        <v>67</v>
      </c>
      <c r="G286" t="s">
        <v>115</v>
      </c>
      <c r="H286" t="s">
        <v>116</v>
      </c>
      <c r="I286" s="4">
        <v>150.61000000000001</v>
      </c>
      <c r="J286">
        <v>1</v>
      </c>
      <c r="K286" s="2">
        <v>0.3</v>
      </c>
      <c r="L286" s="4">
        <v>-37.54</v>
      </c>
      <c r="M286" t="s">
        <v>63</v>
      </c>
      <c r="N286" t="s">
        <v>32</v>
      </c>
      <c r="O286">
        <f>YEAR(Table1[[#This Row],[Order Date]])</f>
        <v>2025</v>
      </c>
      <c r="P286" t="str">
        <f>TEXT(Table1[[#This Row],[Order Date]],"mmmm")</f>
        <v>February</v>
      </c>
      <c r="Q286" t="str">
        <f>TEXT(Table1[[#This Row],[Order Date]],"mm")</f>
        <v>02</v>
      </c>
      <c r="R286" s="2">
        <f>Table1[[#This Row],[Profit]]/Table1[[#This Row],[Sales]]</f>
        <v>-0.24925303764690257</v>
      </c>
      <c r="S286" t="str">
        <f t="shared" si="4"/>
        <v>High (21-30%)</v>
      </c>
    </row>
    <row r="287" spans="1:19" x14ac:dyDescent="0.2">
      <c r="A287" t="s">
        <v>763</v>
      </c>
      <c r="B287" s="3" t="s">
        <v>634</v>
      </c>
      <c r="C287" t="s">
        <v>252</v>
      </c>
      <c r="D287" t="s">
        <v>48</v>
      </c>
      <c r="E287" t="s">
        <v>110</v>
      </c>
      <c r="F287" t="s">
        <v>19</v>
      </c>
      <c r="G287" t="s">
        <v>36</v>
      </c>
      <c r="H287" t="s">
        <v>222</v>
      </c>
      <c r="I287" s="4">
        <v>4844.22</v>
      </c>
      <c r="J287">
        <v>6</v>
      </c>
      <c r="K287" s="2">
        <v>0.2</v>
      </c>
      <c r="L287" s="4">
        <v>-314.5</v>
      </c>
      <c r="M287" t="s">
        <v>63</v>
      </c>
      <c r="N287" t="s">
        <v>39</v>
      </c>
      <c r="O287">
        <f>YEAR(Table1[[#This Row],[Order Date]])</f>
        <v>2024</v>
      </c>
      <c r="P287" t="str">
        <f>TEXT(Table1[[#This Row],[Order Date]],"mmmm")</f>
        <v>November</v>
      </c>
      <c r="Q287" t="str">
        <f>TEXT(Table1[[#This Row],[Order Date]],"mm")</f>
        <v>11</v>
      </c>
      <c r="R287" s="2">
        <f>Table1[[#This Row],[Profit]]/Table1[[#This Row],[Sales]]</f>
        <v>-6.4922732658714913E-2</v>
      </c>
      <c r="S287" t="str">
        <f t="shared" si="4"/>
        <v>Medium (11-20%)</v>
      </c>
    </row>
    <row r="288" spans="1:19" x14ac:dyDescent="0.2">
      <c r="A288" t="s">
        <v>764</v>
      </c>
      <c r="B288" s="3" t="s">
        <v>765</v>
      </c>
      <c r="C288" t="s">
        <v>766</v>
      </c>
      <c r="D288" t="s">
        <v>137</v>
      </c>
      <c r="E288" t="s">
        <v>138</v>
      </c>
      <c r="F288" t="s">
        <v>55</v>
      </c>
      <c r="G288" t="s">
        <v>98</v>
      </c>
      <c r="H288" t="s">
        <v>154</v>
      </c>
      <c r="I288" s="4">
        <v>1203.3599999999999</v>
      </c>
      <c r="J288">
        <v>2</v>
      </c>
      <c r="K288" s="2">
        <v>0.2</v>
      </c>
      <c r="L288" s="4">
        <v>191.63</v>
      </c>
      <c r="M288" t="s">
        <v>107</v>
      </c>
      <c r="N288" t="s">
        <v>76</v>
      </c>
      <c r="O288">
        <f>YEAR(Table1[[#This Row],[Order Date]])</f>
        <v>2024</v>
      </c>
      <c r="P288" t="str">
        <f>TEXT(Table1[[#This Row],[Order Date]],"mmmm")</f>
        <v>April</v>
      </c>
      <c r="Q288" t="str">
        <f>TEXT(Table1[[#This Row],[Order Date]],"mm")</f>
        <v>04</v>
      </c>
      <c r="R288" s="2">
        <f>Table1[[#This Row],[Profit]]/Table1[[#This Row],[Sales]]</f>
        <v>0.15924577848690336</v>
      </c>
      <c r="S288" t="str">
        <f t="shared" si="4"/>
        <v>Medium (11-20%)</v>
      </c>
    </row>
    <row r="289" spans="1:19" x14ac:dyDescent="0.2">
      <c r="A289" t="s">
        <v>767</v>
      </c>
      <c r="B289" s="3" t="s">
        <v>607</v>
      </c>
      <c r="C289" t="s">
        <v>768</v>
      </c>
      <c r="D289" t="s">
        <v>48</v>
      </c>
      <c r="E289" t="s">
        <v>49</v>
      </c>
      <c r="F289" t="s">
        <v>67</v>
      </c>
      <c r="G289" t="s">
        <v>115</v>
      </c>
      <c r="H289" t="s">
        <v>178</v>
      </c>
      <c r="I289" s="4">
        <v>4331.32</v>
      </c>
      <c r="J289">
        <v>7</v>
      </c>
      <c r="K289" s="2">
        <v>0.3</v>
      </c>
      <c r="L289" s="4">
        <v>-774.81</v>
      </c>
      <c r="M289" t="s">
        <v>63</v>
      </c>
      <c r="N289" t="s">
        <v>76</v>
      </c>
      <c r="O289">
        <f>YEAR(Table1[[#This Row],[Order Date]])</f>
        <v>2025</v>
      </c>
      <c r="P289" t="str">
        <f>TEXT(Table1[[#This Row],[Order Date]],"mmmm")</f>
        <v>December</v>
      </c>
      <c r="Q289" t="str">
        <f>TEXT(Table1[[#This Row],[Order Date]],"mm")</f>
        <v>12</v>
      </c>
      <c r="R289" s="2">
        <f>Table1[[#This Row],[Profit]]/Table1[[#This Row],[Sales]]</f>
        <v>-0.17888542061080687</v>
      </c>
      <c r="S289" t="str">
        <f t="shared" si="4"/>
        <v>High (21-30%)</v>
      </c>
    </row>
    <row r="290" spans="1:19" x14ac:dyDescent="0.2">
      <c r="A290" t="s">
        <v>769</v>
      </c>
      <c r="B290" s="3" t="s">
        <v>689</v>
      </c>
      <c r="C290" t="s">
        <v>601</v>
      </c>
      <c r="D290" t="s">
        <v>17</v>
      </c>
      <c r="E290" t="s">
        <v>18</v>
      </c>
      <c r="F290" t="s">
        <v>55</v>
      </c>
      <c r="G290" t="s">
        <v>74</v>
      </c>
      <c r="H290" t="s">
        <v>133</v>
      </c>
      <c r="I290" s="4">
        <v>5096.5200000000004</v>
      </c>
      <c r="J290">
        <v>9</v>
      </c>
      <c r="K290" s="2">
        <v>0.3</v>
      </c>
      <c r="L290" s="4">
        <v>610.91</v>
      </c>
      <c r="M290" t="s">
        <v>107</v>
      </c>
      <c r="N290" t="s">
        <v>39</v>
      </c>
      <c r="O290">
        <f>YEAR(Table1[[#This Row],[Order Date]])</f>
        <v>2025</v>
      </c>
      <c r="P290" t="str">
        <f>TEXT(Table1[[#This Row],[Order Date]],"mmmm")</f>
        <v>May</v>
      </c>
      <c r="Q290" t="str">
        <f>TEXT(Table1[[#This Row],[Order Date]],"mm")</f>
        <v>05</v>
      </c>
      <c r="R290" s="2">
        <f>Table1[[#This Row],[Profit]]/Table1[[#This Row],[Sales]]</f>
        <v>0.11986806683776378</v>
      </c>
      <c r="S290" t="str">
        <f t="shared" si="4"/>
        <v>High (21-30%)</v>
      </c>
    </row>
    <row r="291" spans="1:19" x14ac:dyDescent="0.2">
      <c r="A291" t="s">
        <v>770</v>
      </c>
      <c r="B291" s="3" t="s">
        <v>596</v>
      </c>
      <c r="C291" t="s">
        <v>771</v>
      </c>
      <c r="D291" t="s">
        <v>48</v>
      </c>
      <c r="E291" t="s">
        <v>73</v>
      </c>
      <c r="F291" t="s">
        <v>67</v>
      </c>
      <c r="G291" t="s">
        <v>68</v>
      </c>
      <c r="H291" t="s">
        <v>69</v>
      </c>
      <c r="I291" s="4">
        <v>4739.1000000000004</v>
      </c>
      <c r="J291">
        <v>6</v>
      </c>
      <c r="K291" s="2">
        <v>0.3</v>
      </c>
      <c r="L291" s="4">
        <v>73.430000000000007</v>
      </c>
      <c r="M291" t="s">
        <v>63</v>
      </c>
      <c r="N291" t="s">
        <v>39</v>
      </c>
      <c r="O291">
        <f>YEAR(Table1[[#This Row],[Order Date]])</f>
        <v>2024</v>
      </c>
      <c r="P291" t="str">
        <f>TEXT(Table1[[#This Row],[Order Date]],"mmmm")</f>
        <v>November</v>
      </c>
      <c r="Q291" t="str">
        <f>TEXT(Table1[[#This Row],[Order Date]],"mm")</f>
        <v>11</v>
      </c>
      <c r="R291" s="2">
        <f>Table1[[#This Row],[Profit]]/Table1[[#This Row],[Sales]]</f>
        <v>1.5494503175708468E-2</v>
      </c>
      <c r="S291" t="str">
        <f t="shared" si="4"/>
        <v>High (21-30%)</v>
      </c>
    </row>
    <row r="292" spans="1:19" x14ac:dyDescent="0.2">
      <c r="A292" t="s">
        <v>772</v>
      </c>
      <c r="B292" s="3" t="s">
        <v>405</v>
      </c>
      <c r="C292" t="s">
        <v>530</v>
      </c>
      <c r="D292" t="s">
        <v>17</v>
      </c>
      <c r="E292" t="s">
        <v>80</v>
      </c>
      <c r="F292" t="s">
        <v>67</v>
      </c>
      <c r="G292" t="s">
        <v>85</v>
      </c>
      <c r="H292" t="s">
        <v>86</v>
      </c>
      <c r="I292" s="4">
        <v>188.91</v>
      </c>
      <c r="J292">
        <v>1</v>
      </c>
      <c r="K292" s="2">
        <v>0.1</v>
      </c>
      <c r="L292" s="4">
        <v>-1.83</v>
      </c>
      <c r="M292" t="s">
        <v>44</v>
      </c>
      <c r="N292" t="s">
        <v>39</v>
      </c>
      <c r="O292">
        <f>YEAR(Table1[[#This Row],[Order Date]])</f>
        <v>2025</v>
      </c>
      <c r="P292" t="str">
        <f>TEXT(Table1[[#This Row],[Order Date]],"mmmm")</f>
        <v>December</v>
      </c>
      <c r="Q292" t="str">
        <f>TEXT(Table1[[#This Row],[Order Date]],"mm")</f>
        <v>12</v>
      </c>
      <c r="R292" s="2">
        <f>Table1[[#This Row],[Profit]]/Table1[[#This Row],[Sales]]</f>
        <v>-9.6871526123550895E-3</v>
      </c>
      <c r="S292" t="str">
        <f t="shared" si="4"/>
        <v>Low (1-10%)</v>
      </c>
    </row>
    <row r="293" spans="1:19" x14ac:dyDescent="0.2">
      <c r="A293" t="s">
        <v>773</v>
      </c>
      <c r="B293" s="3" t="s">
        <v>576</v>
      </c>
      <c r="C293" t="s">
        <v>601</v>
      </c>
      <c r="D293" t="s">
        <v>27</v>
      </c>
      <c r="E293" t="s">
        <v>124</v>
      </c>
      <c r="F293" t="s">
        <v>55</v>
      </c>
      <c r="G293" t="s">
        <v>74</v>
      </c>
      <c r="H293" t="s">
        <v>272</v>
      </c>
      <c r="I293" s="4">
        <v>1066.8699999999999</v>
      </c>
      <c r="J293">
        <v>7</v>
      </c>
      <c r="K293" s="2">
        <v>0.2</v>
      </c>
      <c r="L293" s="4">
        <v>-157.91999999999999</v>
      </c>
      <c r="M293" t="s">
        <v>44</v>
      </c>
      <c r="N293" t="s">
        <v>32</v>
      </c>
      <c r="O293">
        <f>YEAR(Table1[[#This Row],[Order Date]])</f>
        <v>2024</v>
      </c>
      <c r="P293" t="str">
        <f>TEXT(Table1[[#This Row],[Order Date]],"mmmm")</f>
        <v>October</v>
      </c>
      <c r="Q293" t="str">
        <f>TEXT(Table1[[#This Row],[Order Date]],"mm")</f>
        <v>10</v>
      </c>
      <c r="R293" s="2">
        <f>Table1[[#This Row],[Profit]]/Table1[[#This Row],[Sales]]</f>
        <v>-0.14802178334754937</v>
      </c>
      <c r="S293" t="str">
        <f t="shared" si="4"/>
        <v>Medium (11-20%)</v>
      </c>
    </row>
    <row r="294" spans="1:19" x14ac:dyDescent="0.2">
      <c r="A294" t="s">
        <v>774</v>
      </c>
      <c r="B294" s="3" t="s">
        <v>775</v>
      </c>
      <c r="C294" t="s">
        <v>60</v>
      </c>
      <c r="D294" t="s">
        <v>27</v>
      </c>
      <c r="E294" t="s">
        <v>28</v>
      </c>
      <c r="F294" t="s">
        <v>67</v>
      </c>
      <c r="G294" t="s">
        <v>85</v>
      </c>
      <c r="H294" t="s">
        <v>125</v>
      </c>
      <c r="I294" s="4">
        <v>1545.87</v>
      </c>
      <c r="J294">
        <v>3</v>
      </c>
      <c r="K294" s="2">
        <v>0.25</v>
      </c>
      <c r="L294" s="4">
        <v>-148.79</v>
      </c>
      <c r="M294" t="s">
        <v>38</v>
      </c>
      <c r="N294" t="s">
        <v>39</v>
      </c>
      <c r="O294">
        <f>YEAR(Table1[[#This Row],[Order Date]])</f>
        <v>2025</v>
      </c>
      <c r="P294" t="str">
        <f>TEXT(Table1[[#This Row],[Order Date]],"mmmm")</f>
        <v>December</v>
      </c>
      <c r="Q294" t="str">
        <f>TEXT(Table1[[#This Row],[Order Date]],"mm")</f>
        <v>12</v>
      </c>
      <c r="R294" s="2">
        <f>Table1[[#This Row],[Profit]]/Table1[[#This Row],[Sales]]</f>
        <v>-9.6250008086061573E-2</v>
      </c>
      <c r="S294" t="str">
        <f t="shared" si="4"/>
        <v>High (21-30%)</v>
      </c>
    </row>
    <row r="295" spans="1:19" x14ac:dyDescent="0.2">
      <c r="A295" t="s">
        <v>776</v>
      </c>
      <c r="B295" s="3" t="s">
        <v>716</v>
      </c>
      <c r="C295" t="s">
        <v>332</v>
      </c>
      <c r="D295" t="s">
        <v>27</v>
      </c>
      <c r="E295" t="s">
        <v>61</v>
      </c>
      <c r="F295" t="s">
        <v>19</v>
      </c>
      <c r="G295" t="s">
        <v>36</v>
      </c>
      <c r="H295" t="s">
        <v>37</v>
      </c>
      <c r="I295" s="4">
        <v>6220.89</v>
      </c>
      <c r="J295">
        <v>9</v>
      </c>
      <c r="K295" s="2">
        <v>0.15</v>
      </c>
      <c r="L295" s="4">
        <v>1603.6</v>
      </c>
      <c r="M295" t="s">
        <v>143</v>
      </c>
      <c r="N295" t="s">
        <v>32</v>
      </c>
      <c r="O295">
        <f>YEAR(Table1[[#This Row],[Order Date]])</f>
        <v>2024</v>
      </c>
      <c r="P295" t="str">
        <f>TEXT(Table1[[#This Row],[Order Date]],"mmmm")</f>
        <v>June</v>
      </c>
      <c r="Q295" t="str">
        <f>TEXT(Table1[[#This Row],[Order Date]],"mm")</f>
        <v>06</v>
      </c>
      <c r="R295" s="2">
        <f>Table1[[#This Row],[Profit]]/Table1[[#This Row],[Sales]]</f>
        <v>0.25777662038711502</v>
      </c>
      <c r="S295" t="str">
        <f t="shared" si="4"/>
        <v>Medium (11-20%)</v>
      </c>
    </row>
    <row r="296" spans="1:19" x14ac:dyDescent="0.2">
      <c r="A296" t="s">
        <v>777</v>
      </c>
      <c r="B296" s="3" t="s">
        <v>778</v>
      </c>
      <c r="C296" t="s">
        <v>259</v>
      </c>
      <c r="D296" t="s">
        <v>17</v>
      </c>
      <c r="E296" t="s">
        <v>18</v>
      </c>
      <c r="F296" t="s">
        <v>55</v>
      </c>
      <c r="G296" t="s">
        <v>56</v>
      </c>
      <c r="H296" t="s">
        <v>62</v>
      </c>
      <c r="I296" s="4">
        <v>1767.54</v>
      </c>
      <c r="J296">
        <v>3</v>
      </c>
      <c r="K296" s="2">
        <v>0.25</v>
      </c>
      <c r="L296" s="4">
        <v>-41.73</v>
      </c>
      <c r="M296" t="s">
        <v>117</v>
      </c>
      <c r="N296" t="s">
        <v>32</v>
      </c>
      <c r="O296">
        <f>YEAR(Table1[[#This Row],[Order Date]])</f>
        <v>2024</v>
      </c>
      <c r="P296" t="str">
        <f>TEXT(Table1[[#This Row],[Order Date]],"mmmm")</f>
        <v>January</v>
      </c>
      <c r="Q296" t="str">
        <f>TEXT(Table1[[#This Row],[Order Date]],"mm")</f>
        <v>01</v>
      </c>
      <c r="R296" s="2">
        <f>Table1[[#This Row],[Profit]]/Table1[[#This Row],[Sales]]</f>
        <v>-2.3609083811398892E-2</v>
      </c>
      <c r="S296" t="str">
        <f t="shared" si="4"/>
        <v>High (21-30%)</v>
      </c>
    </row>
    <row r="297" spans="1:19" x14ac:dyDescent="0.2">
      <c r="A297" t="s">
        <v>779</v>
      </c>
      <c r="B297" s="3" t="s">
        <v>780</v>
      </c>
      <c r="C297" t="s">
        <v>90</v>
      </c>
      <c r="D297" t="s">
        <v>27</v>
      </c>
      <c r="E297" t="s">
        <v>124</v>
      </c>
      <c r="F297" t="s">
        <v>67</v>
      </c>
      <c r="G297" t="s">
        <v>85</v>
      </c>
      <c r="H297" t="s">
        <v>86</v>
      </c>
      <c r="I297" s="4">
        <v>360.34</v>
      </c>
      <c r="J297">
        <v>2</v>
      </c>
      <c r="K297" s="2">
        <v>0.2</v>
      </c>
      <c r="L297" s="4">
        <v>58.46</v>
      </c>
      <c r="M297" t="s">
        <v>44</v>
      </c>
      <c r="N297" t="s">
        <v>39</v>
      </c>
      <c r="O297">
        <f>YEAR(Table1[[#This Row],[Order Date]])</f>
        <v>2024</v>
      </c>
      <c r="P297" t="str">
        <f>TEXT(Table1[[#This Row],[Order Date]],"mmmm")</f>
        <v>December</v>
      </c>
      <c r="Q297" t="str">
        <f>TEXT(Table1[[#This Row],[Order Date]],"mm")</f>
        <v>12</v>
      </c>
      <c r="R297" s="2">
        <f>Table1[[#This Row],[Profit]]/Table1[[#This Row],[Sales]]</f>
        <v>0.16223566631514683</v>
      </c>
      <c r="S297" t="str">
        <f t="shared" si="4"/>
        <v>Medium (11-20%)</v>
      </c>
    </row>
    <row r="298" spans="1:19" x14ac:dyDescent="0.2">
      <c r="A298" t="s">
        <v>781</v>
      </c>
      <c r="B298" s="3" t="s">
        <v>782</v>
      </c>
      <c r="C298" t="s">
        <v>157</v>
      </c>
      <c r="D298" t="s">
        <v>48</v>
      </c>
      <c r="E298" t="s">
        <v>84</v>
      </c>
      <c r="F298" t="s">
        <v>67</v>
      </c>
      <c r="G298" t="s">
        <v>115</v>
      </c>
      <c r="H298" t="s">
        <v>116</v>
      </c>
      <c r="I298" s="4">
        <v>66.62</v>
      </c>
      <c r="J298">
        <v>1</v>
      </c>
      <c r="K298" s="2">
        <v>0.3</v>
      </c>
      <c r="L298" s="4">
        <v>-14.15</v>
      </c>
      <c r="M298" t="s">
        <v>143</v>
      </c>
      <c r="N298" t="s">
        <v>39</v>
      </c>
      <c r="O298">
        <f>YEAR(Table1[[#This Row],[Order Date]])</f>
        <v>2024</v>
      </c>
      <c r="P298" t="str">
        <f>TEXT(Table1[[#This Row],[Order Date]],"mmmm")</f>
        <v>April</v>
      </c>
      <c r="Q298" t="str">
        <f>TEXT(Table1[[#This Row],[Order Date]],"mm")</f>
        <v>04</v>
      </c>
      <c r="R298" s="2">
        <f>Table1[[#This Row],[Profit]]/Table1[[#This Row],[Sales]]</f>
        <v>-0.21239867907535273</v>
      </c>
      <c r="S298" t="str">
        <f t="shared" si="4"/>
        <v>High (21-30%)</v>
      </c>
    </row>
    <row r="299" spans="1:19" x14ac:dyDescent="0.2">
      <c r="A299" t="s">
        <v>783</v>
      </c>
      <c r="B299" s="3" t="s">
        <v>784</v>
      </c>
      <c r="C299" t="s">
        <v>672</v>
      </c>
      <c r="D299" t="s">
        <v>48</v>
      </c>
      <c r="E299" t="s">
        <v>110</v>
      </c>
      <c r="F299" t="s">
        <v>67</v>
      </c>
      <c r="G299" t="s">
        <v>115</v>
      </c>
      <c r="H299" t="s">
        <v>116</v>
      </c>
      <c r="I299" s="4">
        <v>2104.5300000000002</v>
      </c>
      <c r="J299">
        <v>3</v>
      </c>
      <c r="K299" s="2">
        <v>0.3</v>
      </c>
      <c r="L299" s="4">
        <v>56.54</v>
      </c>
      <c r="M299" t="s">
        <v>63</v>
      </c>
      <c r="N299" t="s">
        <v>39</v>
      </c>
      <c r="O299">
        <f>YEAR(Table1[[#This Row],[Order Date]])</f>
        <v>2024</v>
      </c>
      <c r="P299" t="str">
        <f>TEXT(Table1[[#This Row],[Order Date]],"mmmm")</f>
        <v>December</v>
      </c>
      <c r="Q299" t="str">
        <f>TEXT(Table1[[#This Row],[Order Date]],"mm")</f>
        <v>12</v>
      </c>
      <c r="R299" s="2">
        <f>Table1[[#This Row],[Profit]]/Table1[[#This Row],[Sales]]</f>
        <v>2.6865856034363964E-2</v>
      </c>
      <c r="S299" t="str">
        <f t="shared" si="4"/>
        <v>High (21-30%)</v>
      </c>
    </row>
    <row r="300" spans="1:19" x14ac:dyDescent="0.2">
      <c r="A300" t="s">
        <v>785</v>
      </c>
      <c r="B300" s="3" t="s">
        <v>410</v>
      </c>
      <c r="C300" t="s">
        <v>548</v>
      </c>
      <c r="D300" t="s">
        <v>137</v>
      </c>
      <c r="E300" t="s">
        <v>160</v>
      </c>
      <c r="F300" t="s">
        <v>67</v>
      </c>
      <c r="G300" t="s">
        <v>68</v>
      </c>
      <c r="H300" t="s">
        <v>382</v>
      </c>
      <c r="I300" s="4">
        <v>4220.6499999999996</v>
      </c>
      <c r="J300">
        <v>7</v>
      </c>
      <c r="K300" s="2">
        <v>0.15</v>
      </c>
      <c r="L300" s="4">
        <v>734.31</v>
      </c>
      <c r="M300" t="s">
        <v>87</v>
      </c>
      <c r="N300" t="s">
        <v>76</v>
      </c>
      <c r="O300">
        <f>YEAR(Table1[[#This Row],[Order Date]])</f>
        <v>2024</v>
      </c>
      <c r="P300" t="str">
        <f>TEXT(Table1[[#This Row],[Order Date]],"mmmm")</f>
        <v>May</v>
      </c>
      <c r="Q300" t="str">
        <f>TEXT(Table1[[#This Row],[Order Date]],"mm")</f>
        <v>05</v>
      </c>
      <c r="R300" s="2">
        <f>Table1[[#This Row],[Profit]]/Table1[[#This Row],[Sales]]</f>
        <v>0.17398031108952414</v>
      </c>
      <c r="S300" t="str">
        <f t="shared" si="4"/>
        <v>Medium (11-20%)</v>
      </c>
    </row>
    <row r="301" spans="1:19" x14ac:dyDescent="0.2">
      <c r="A301" t="s">
        <v>786</v>
      </c>
      <c r="B301" s="3" t="s">
        <v>299</v>
      </c>
      <c r="C301" t="s">
        <v>238</v>
      </c>
      <c r="D301" t="s">
        <v>17</v>
      </c>
      <c r="E301" t="s">
        <v>97</v>
      </c>
      <c r="F301" t="s">
        <v>19</v>
      </c>
      <c r="G301" t="s">
        <v>36</v>
      </c>
      <c r="H301" t="s">
        <v>222</v>
      </c>
      <c r="I301" s="4">
        <v>3936.48</v>
      </c>
      <c r="J301">
        <v>8</v>
      </c>
      <c r="K301" s="2">
        <v>0</v>
      </c>
      <c r="L301" s="4">
        <v>821.47</v>
      </c>
      <c r="M301" t="s">
        <v>31</v>
      </c>
      <c r="N301" t="s">
        <v>32</v>
      </c>
      <c r="O301">
        <f>YEAR(Table1[[#This Row],[Order Date]])</f>
        <v>2024</v>
      </c>
      <c r="P301" t="str">
        <f>TEXT(Table1[[#This Row],[Order Date]],"mmmm")</f>
        <v>April</v>
      </c>
      <c r="Q301" t="str">
        <f>TEXT(Table1[[#This Row],[Order Date]],"mm")</f>
        <v>04</v>
      </c>
      <c r="R301" s="2">
        <f>Table1[[#This Row],[Profit]]/Table1[[#This Row],[Sales]]</f>
        <v>0.20868135999674836</v>
      </c>
      <c r="S301" t="str">
        <f t="shared" si="4"/>
        <v>No Discount</v>
      </c>
    </row>
    <row r="302" spans="1:19" x14ac:dyDescent="0.2">
      <c r="A302" t="s">
        <v>787</v>
      </c>
      <c r="B302" s="3" t="s">
        <v>700</v>
      </c>
      <c r="C302" t="s">
        <v>684</v>
      </c>
      <c r="D302" t="s">
        <v>27</v>
      </c>
      <c r="E302" t="s">
        <v>61</v>
      </c>
      <c r="F302" t="s">
        <v>55</v>
      </c>
      <c r="G302" t="s">
        <v>74</v>
      </c>
      <c r="H302" t="s">
        <v>133</v>
      </c>
      <c r="I302" s="4">
        <v>913</v>
      </c>
      <c r="J302">
        <v>4</v>
      </c>
      <c r="K302" s="2">
        <v>0.3</v>
      </c>
      <c r="L302" s="4">
        <v>-17.29</v>
      </c>
      <c r="M302" t="s">
        <v>44</v>
      </c>
      <c r="N302" t="s">
        <v>76</v>
      </c>
      <c r="O302">
        <f>YEAR(Table1[[#This Row],[Order Date]])</f>
        <v>2024</v>
      </c>
      <c r="P302" t="str">
        <f>TEXT(Table1[[#This Row],[Order Date]],"mmmm")</f>
        <v>January</v>
      </c>
      <c r="Q302" t="str">
        <f>TEXT(Table1[[#This Row],[Order Date]],"mm")</f>
        <v>01</v>
      </c>
      <c r="R302" s="2">
        <f>Table1[[#This Row],[Profit]]/Table1[[#This Row],[Sales]]</f>
        <v>-1.8937568455640742E-2</v>
      </c>
      <c r="S302" t="str">
        <f t="shared" si="4"/>
        <v>High (21-30%)</v>
      </c>
    </row>
    <row r="303" spans="1:19" x14ac:dyDescent="0.2">
      <c r="A303" t="s">
        <v>788</v>
      </c>
      <c r="B303" s="3" t="s">
        <v>362</v>
      </c>
      <c r="C303" t="s">
        <v>652</v>
      </c>
      <c r="D303" t="s">
        <v>27</v>
      </c>
      <c r="E303" t="s">
        <v>124</v>
      </c>
      <c r="F303" t="s">
        <v>55</v>
      </c>
      <c r="G303" t="s">
        <v>56</v>
      </c>
      <c r="H303" t="s">
        <v>57</v>
      </c>
      <c r="I303" s="4">
        <v>1344.54</v>
      </c>
      <c r="J303">
        <v>3</v>
      </c>
      <c r="K303" s="2">
        <v>0.3</v>
      </c>
      <c r="L303" s="4">
        <v>44.87</v>
      </c>
      <c r="M303" t="s">
        <v>38</v>
      </c>
      <c r="N303" t="s">
        <v>32</v>
      </c>
      <c r="O303">
        <f>YEAR(Table1[[#This Row],[Order Date]])</f>
        <v>2025</v>
      </c>
      <c r="P303" t="str">
        <f>TEXT(Table1[[#This Row],[Order Date]],"mmmm")</f>
        <v>February</v>
      </c>
      <c r="Q303" t="str">
        <f>TEXT(Table1[[#This Row],[Order Date]],"mm")</f>
        <v>02</v>
      </c>
      <c r="R303" s="2">
        <f>Table1[[#This Row],[Profit]]/Table1[[#This Row],[Sales]]</f>
        <v>3.3372008270486558E-2</v>
      </c>
      <c r="S303" t="str">
        <f t="shared" si="4"/>
        <v>High (21-30%)</v>
      </c>
    </row>
    <row r="304" spans="1:19" x14ac:dyDescent="0.2">
      <c r="A304" t="s">
        <v>789</v>
      </c>
      <c r="B304" s="3" t="s">
        <v>790</v>
      </c>
      <c r="C304" t="s">
        <v>294</v>
      </c>
      <c r="D304" t="s">
        <v>17</v>
      </c>
      <c r="E304" t="s">
        <v>97</v>
      </c>
      <c r="F304" t="s">
        <v>67</v>
      </c>
      <c r="G304" t="s">
        <v>68</v>
      </c>
      <c r="H304" t="s">
        <v>382</v>
      </c>
      <c r="I304" s="4">
        <v>48.06</v>
      </c>
      <c r="J304">
        <v>3</v>
      </c>
      <c r="K304" s="2">
        <v>0.3</v>
      </c>
      <c r="L304" s="4">
        <v>-8.16</v>
      </c>
      <c r="M304" t="s">
        <v>31</v>
      </c>
      <c r="N304" t="s">
        <v>39</v>
      </c>
      <c r="O304">
        <f>YEAR(Table1[[#This Row],[Order Date]])</f>
        <v>2025</v>
      </c>
      <c r="P304" t="str">
        <f>TEXT(Table1[[#This Row],[Order Date]],"mmmm")</f>
        <v>February</v>
      </c>
      <c r="Q304" t="str">
        <f>TEXT(Table1[[#This Row],[Order Date]],"mm")</f>
        <v>02</v>
      </c>
      <c r="R304" s="2">
        <f>Table1[[#This Row],[Profit]]/Table1[[#This Row],[Sales]]</f>
        <v>-0.16978776529338327</v>
      </c>
      <c r="S304" t="str">
        <f t="shared" si="4"/>
        <v>High (21-30%)</v>
      </c>
    </row>
    <row r="305" spans="1:19" x14ac:dyDescent="0.2">
      <c r="A305" t="s">
        <v>791</v>
      </c>
      <c r="B305" s="3" t="s">
        <v>596</v>
      </c>
      <c r="C305" t="s">
        <v>792</v>
      </c>
      <c r="D305" t="s">
        <v>17</v>
      </c>
      <c r="E305" t="s">
        <v>54</v>
      </c>
      <c r="F305" t="s">
        <v>67</v>
      </c>
      <c r="G305" t="s">
        <v>115</v>
      </c>
      <c r="H305" t="s">
        <v>212</v>
      </c>
      <c r="I305" s="4">
        <v>2545.56</v>
      </c>
      <c r="J305">
        <v>3</v>
      </c>
      <c r="K305" s="2">
        <v>0.3</v>
      </c>
      <c r="L305" s="4">
        <v>-138.38</v>
      </c>
      <c r="M305" t="s">
        <v>63</v>
      </c>
      <c r="N305" t="s">
        <v>23</v>
      </c>
      <c r="O305">
        <f>YEAR(Table1[[#This Row],[Order Date]])</f>
        <v>2024</v>
      </c>
      <c r="P305" t="str">
        <f>TEXT(Table1[[#This Row],[Order Date]],"mmmm")</f>
        <v>November</v>
      </c>
      <c r="Q305" t="str">
        <f>TEXT(Table1[[#This Row],[Order Date]],"mm")</f>
        <v>11</v>
      </c>
      <c r="R305" s="2">
        <f>Table1[[#This Row],[Profit]]/Table1[[#This Row],[Sales]]</f>
        <v>-5.4361319316771163E-2</v>
      </c>
      <c r="S305" t="str">
        <f t="shared" si="4"/>
        <v>High (21-30%)</v>
      </c>
    </row>
    <row r="306" spans="1:19" x14ac:dyDescent="0.2">
      <c r="A306" t="s">
        <v>793</v>
      </c>
      <c r="B306" s="3" t="s">
        <v>794</v>
      </c>
      <c r="C306" t="s">
        <v>157</v>
      </c>
      <c r="D306" t="s">
        <v>137</v>
      </c>
      <c r="E306" t="s">
        <v>160</v>
      </c>
      <c r="F306" t="s">
        <v>67</v>
      </c>
      <c r="G306" t="s">
        <v>115</v>
      </c>
      <c r="H306" t="s">
        <v>178</v>
      </c>
      <c r="I306" s="4">
        <v>3423.44</v>
      </c>
      <c r="J306">
        <v>8</v>
      </c>
      <c r="K306" s="2">
        <v>0.25</v>
      </c>
      <c r="L306" s="4">
        <v>-100.09</v>
      </c>
      <c r="M306" t="s">
        <v>22</v>
      </c>
      <c r="N306" t="s">
        <v>32</v>
      </c>
      <c r="O306">
        <f>YEAR(Table1[[#This Row],[Order Date]])</f>
        <v>2025</v>
      </c>
      <c r="P306" t="str">
        <f>TEXT(Table1[[#This Row],[Order Date]],"mmmm")</f>
        <v>September</v>
      </c>
      <c r="Q306" t="str">
        <f>TEXT(Table1[[#This Row],[Order Date]],"mm")</f>
        <v>09</v>
      </c>
      <c r="R306" s="2">
        <f>Table1[[#This Row],[Profit]]/Table1[[#This Row],[Sales]]</f>
        <v>-2.9236674222419556E-2</v>
      </c>
      <c r="S306" t="str">
        <f t="shared" si="4"/>
        <v>High (21-30%)</v>
      </c>
    </row>
    <row r="307" spans="1:19" x14ac:dyDescent="0.2">
      <c r="A307" t="s">
        <v>795</v>
      </c>
      <c r="B307" s="3" t="s">
        <v>796</v>
      </c>
      <c r="C307" t="s">
        <v>797</v>
      </c>
      <c r="D307" t="s">
        <v>48</v>
      </c>
      <c r="E307" t="s">
        <v>73</v>
      </c>
      <c r="F307" t="s">
        <v>67</v>
      </c>
      <c r="G307" t="s">
        <v>115</v>
      </c>
      <c r="H307" t="s">
        <v>116</v>
      </c>
      <c r="I307" s="4">
        <v>5921.3</v>
      </c>
      <c r="J307">
        <v>7</v>
      </c>
      <c r="K307" s="2">
        <v>0</v>
      </c>
      <c r="L307" s="4">
        <v>1155.19</v>
      </c>
      <c r="M307" t="s">
        <v>44</v>
      </c>
      <c r="N307" t="s">
        <v>32</v>
      </c>
      <c r="O307">
        <f>YEAR(Table1[[#This Row],[Order Date]])</f>
        <v>2024</v>
      </c>
      <c r="P307" t="str">
        <f>TEXT(Table1[[#This Row],[Order Date]],"mmmm")</f>
        <v>April</v>
      </c>
      <c r="Q307" t="str">
        <f>TEXT(Table1[[#This Row],[Order Date]],"mm")</f>
        <v>04</v>
      </c>
      <c r="R307" s="2">
        <f>Table1[[#This Row],[Profit]]/Table1[[#This Row],[Sales]]</f>
        <v>0.19509060510360901</v>
      </c>
      <c r="S307" t="str">
        <f t="shared" si="4"/>
        <v>No Discount</v>
      </c>
    </row>
    <row r="308" spans="1:19" x14ac:dyDescent="0.2">
      <c r="A308" t="s">
        <v>798</v>
      </c>
      <c r="B308" s="3" t="s">
        <v>799</v>
      </c>
      <c r="C308" t="s">
        <v>800</v>
      </c>
      <c r="D308" t="s">
        <v>48</v>
      </c>
      <c r="E308" t="s">
        <v>73</v>
      </c>
      <c r="F308" t="s">
        <v>19</v>
      </c>
      <c r="G308" t="s">
        <v>20</v>
      </c>
      <c r="H308" t="s">
        <v>347</v>
      </c>
      <c r="I308" s="4">
        <v>420.16</v>
      </c>
      <c r="J308">
        <v>4</v>
      </c>
      <c r="K308" s="2">
        <v>0.1</v>
      </c>
      <c r="L308" s="4">
        <v>53.7</v>
      </c>
      <c r="M308" t="s">
        <v>22</v>
      </c>
      <c r="N308" t="s">
        <v>39</v>
      </c>
      <c r="O308">
        <f>YEAR(Table1[[#This Row],[Order Date]])</f>
        <v>2025</v>
      </c>
      <c r="P308" t="str">
        <f>TEXT(Table1[[#This Row],[Order Date]],"mmmm")</f>
        <v>August</v>
      </c>
      <c r="Q308" t="str">
        <f>TEXT(Table1[[#This Row],[Order Date]],"mm")</f>
        <v>08</v>
      </c>
      <c r="R308" s="2">
        <f>Table1[[#This Row],[Profit]]/Table1[[#This Row],[Sales]]</f>
        <v>0.1278084539223153</v>
      </c>
      <c r="S308" t="str">
        <f t="shared" si="4"/>
        <v>Low (1-10%)</v>
      </c>
    </row>
    <row r="309" spans="1:19" x14ac:dyDescent="0.2">
      <c r="A309" t="s">
        <v>801</v>
      </c>
      <c r="B309" s="3" t="s">
        <v>482</v>
      </c>
      <c r="C309" t="s">
        <v>305</v>
      </c>
      <c r="D309" t="s">
        <v>27</v>
      </c>
      <c r="E309" t="s">
        <v>43</v>
      </c>
      <c r="F309" t="s">
        <v>19</v>
      </c>
      <c r="G309" t="s">
        <v>29</v>
      </c>
      <c r="H309" t="s">
        <v>30</v>
      </c>
      <c r="I309" s="4">
        <v>5047.3500000000004</v>
      </c>
      <c r="J309">
        <v>7</v>
      </c>
      <c r="K309" s="2">
        <v>0</v>
      </c>
      <c r="L309" s="4">
        <v>2028.38</v>
      </c>
      <c r="M309" t="s">
        <v>31</v>
      </c>
      <c r="N309" t="s">
        <v>23</v>
      </c>
      <c r="O309">
        <f>YEAR(Table1[[#This Row],[Order Date]])</f>
        <v>2024</v>
      </c>
      <c r="P309" t="str">
        <f>TEXT(Table1[[#This Row],[Order Date]],"mmmm")</f>
        <v>August</v>
      </c>
      <c r="Q309" t="str">
        <f>TEXT(Table1[[#This Row],[Order Date]],"mm")</f>
        <v>08</v>
      </c>
      <c r="R309" s="2">
        <f>Table1[[#This Row],[Profit]]/Table1[[#This Row],[Sales]]</f>
        <v>0.40187028836914418</v>
      </c>
      <c r="S309" t="str">
        <f t="shared" si="4"/>
        <v>No Discount</v>
      </c>
    </row>
    <row r="310" spans="1:19" x14ac:dyDescent="0.2">
      <c r="A310" t="s">
        <v>802</v>
      </c>
      <c r="B310" s="3" t="s">
        <v>803</v>
      </c>
      <c r="C310" t="s">
        <v>804</v>
      </c>
      <c r="D310" t="s">
        <v>48</v>
      </c>
      <c r="E310" t="s">
        <v>110</v>
      </c>
      <c r="F310" t="s">
        <v>55</v>
      </c>
      <c r="G310" t="s">
        <v>56</v>
      </c>
      <c r="H310" t="s">
        <v>62</v>
      </c>
      <c r="I310" s="4">
        <v>997.61</v>
      </c>
      <c r="J310">
        <v>1</v>
      </c>
      <c r="K310" s="2">
        <v>0.25</v>
      </c>
      <c r="L310" s="4">
        <v>167.48</v>
      </c>
      <c r="M310" t="s">
        <v>44</v>
      </c>
      <c r="N310" t="s">
        <v>76</v>
      </c>
      <c r="O310">
        <f>YEAR(Table1[[#This Row],[Order Date]])</f>
        <v>2025</v>
      </c>
      <c r="P310" t="str">
        <f>TEXT(Table1[[#This Row],[Order Date]],"mmmm")</f>
        <v>October</v>
      </c>
      <c r="Q310" t="str">
        <f>TEXT(Table1[[#This Row],[Order Date]],"mm")</f>
        <v>10</v>
      </c>
      <c r="R310" s="2">
        <f>Table1[[#This Row],[Profit]]/Table1[[#This Row],[Sales]]</f>
        <v>0.16788123615440903</v>
      </c>
      <c r="S310" t="str">
        <f t="shared" si="4"/>
        <v>High (21-30%)</v>
      </c>
    </row>
    <row r="311" spans="1:19" x14ac:dyDescent="0.2">
      <c r="A311" t="s">
        <v>805</v>
      </c>
      <c r="B311" s="3" t="s">
        <v>806</v>
      </c>
      <c r="C311" t="s">
        <v>807</v>
      </c>
      <c r="D311" t="s">
        <v>48</v>
      </c>
      <c r="E311" t="s">
        <v>49</v>
      </c>
      <c r="F311" t="s">
        <v>19</v>
      </c>
      <c r="G311" t="s">
        <v>36</v>
      </c>
      <c r="H311" t="s">
        <v>37</v>
      </c>
      <c r="I311" s="4">
        <v>1324.5</v>
      </c>
      <c r="J311">
        <v>10</v>
      </c>
      <c r="K311" s="2">
        <v>0.1</v>
      </c>
      <c r="L311" s="4">
        <v>178.59</v>
      </c>
      <c r="M311" t="s">
        <v>22</v>
      </c>
      <c r="N311" t="s">
        <v>76</v>
      </c>
      <c r="O311">
        <f>YEAR(Table1[[#This Row],[Order Date]])</f>
        <v>2024</v>
      </c>
      <c r="P311" t="str">
        <f>TEXT(Table1[[#This Row],[Order Date]],"mmmm")</f>
        <v>May</v>
      </c>
      <c r="Q311" t="str">
        <f>TEXT(Table1[[#This Row],[Order Date]],"mm")</f>
        <v>05</v>
      </c>
      <c r="R311" s="2">
        <f>Table1[[#This Row],[Profit]]/Table1[[#This Row],[Sales]]</f>
        <v>0.13483578708946772</v>
      </c>
      <c r="S311" t="str">
        <f t="shared" si="4"/>
        <v>Low (1-10%)</v>
      </c>
    </row>
    <row r="312" spans="1:19" x14ac:dyDescent="0.2">
      <c r="A312" t="s">
        <v>808</v>
      </c>
      <c r="B312" s="3" t="s">
        <v>809</v>
      </c>
      <c r="C312" t="s">
        <v>608</v>
      </c>
      <c r="D312" t="s">
        <v>137</v>
      </c>
      <c r="E312" t="s">
        <v>142</v>
      </c>
      <c r="F312" t="s">
        <v>67</v>
      </c>
      <c r="G312" t="s">
        <v>68</v>
      </c>
      <c r="H312" t="s">
        <v>69</v>
      </c>
      <c r="I312" s="4">
        <v>1904.13</v>
      </c>
      <c r="J312">
        <v>9</v>
      </c>
      <c r="K312" s="2">
        <v>0.1</v>
      </c>
      <c r="L312" s="4">
        <v>430.54</v>
      </c>
      <c r="M312" t="s">
        <v>107</v>
      </c>
      <c r="N312" t="s">
        <v>39</v>
      </c>
      <c r="O312">
        <f>YEAR(Table1[[#This Row],[Order Date]])</f>
        <v>2025</v>
      </c>
      <c r="P312" t="str">
        <f>TEXT(Table1[[#This Row],[Order Date]],"mmmm")</f>
        <v>November</v>
      </c>
      <c r="Q312" t="str">
        <f>TEXT(Table1[[#This Row],[Order Date]],"mm")</f>
        <v>11</v>
      </c>
      <c r="R312" s="2">
        <f>Table1[[#This Row],[Profit]]/Table1[[#This Row],[Sales]]</f>
        <v>0.22610851149868968</v>
      </c>
      <c r="S312" t="str">
        <f t="shared" si="4"/>
        <v>Low (1-10%)</v>
      </c>
    </row>
    <row r="313" spans="1:19" x14ac:dyDescent="0.2">
      <c r="A313" t="s">
        <v>810</v>
      </c>
      <c r="B313" s="3" t="s">
        <v>78</v>
      </c>
      <c r="C313" t="s">
        <v>175</v>
      </c>
      <c r="D313" t="s">
        <v>17</v>
      </c>
      <c r="E313" t="s">
        <v>18</v>
      </c>
      <c r="F313" t="s">
        <v>55</v>
      </c>
      <c r="G313" t="s">
        <v>98</v>
      </c>
      <c r="H313" t="s">
        <v>99</v>
      </c>
      <c r="I313" s="4">
        <v>6568.47</v>
      </c>
      <c r="J313">
        <v>9</v>
      </c>
      <c r="K313" s="2">
        <v>0.3</v>
      </c>
      <c r="L313" s="4">
        <v>-221.21</v>
      </c>
      <c r="M313" t="s">
        <v>22</v>
      </c>
      <c r="N313" t="s">
        <v>32</v>
      </c>
      <c r="O313">
        <f>YEAR(Table1[[#This Row],[Order Date]])</f>
        <v>2024</v>
      </c>
      <c r="P313" t="str">
        <f>TEXT(Table1[[#This Row],[Order Date]],"mmmm")</f>
        <v>July</v>
      </c>
      <c r="Q313" t="str">
        <f>TEXT(Table1[[#This Row],[Order Date]],"mm")</f>
        <v>07</v>
      </c>
      <c r="R313" s="2">
        <f>Table1[[#This Row],[Profit]]/Table1[[#This Row],[Sales]]</f>
        <v>-3.3677553524641204E-2</v>
      </c>
      <c r="S313" t="str">
        <f t="shared" si="4"/>
        <v>High (21-30%)</v>
      </c>
    </row>
    <row r="314" spans="1:19" x14ac:dyDescent="0.2">
      <c r="A314" t="s">
        <v>811</v>
      </c>
      <c r="B314" s="3" t="s">
        <v>374</v>
      </c>
      <c r="C314" t="s">
        <v>519</v>
      </c>
      <c r="D314" t="s">
        <v>27</v>
      </c>
      <c r="E314" t="s">
        <v>124</v>
      </c>
      <c r="F314" t="s">
        <v>19</v>
      </c>
      <c r="G314" t="s">
        <v>29</v>
      </c>
      <c r="H314" t="s">
        <v>30</v>
      </c>
      <c r="I314" s="4">
        <v>2341.0500000000002</v>
      </c>
      <c r="J314">
        <v>5</v>
      </c>
      <c r="K314" s="2">
        <v>0.1</v>
      </c>
      <c r="L314" s="4">
        <v>159.77000000000001</v>
      </c>
      <c r="M314" t="s">
        <v>195</v>
      </c>
      <c r="N314" t="s">
        <v>76</v>
      </c>
      <c r="O314">
        <f>YEAR(Table1[[#This Row],[Order Date]])</f>
        <v>2025</v>
      </c>
      <c r="P314" t="str">
        <f>TEXT(Table1[[#This Row],[Order Date]],"mmmm")</f>
        <v>March</v>
      </c>
      <c r="Q314" t="str">
        <f>TEXT(Table1[[#This Row],[Order Date]],"mm")</f>
        <v>03</v>
      </c>
      <c r="R314" s="2">
        <f>Table1[[#This Row],[Profit]]/Table1[[#This Row],[Sales]]</f>
        <v>6.8247154054804471E-2</v>
      </c>
      <c r="S314" t="str">
        <f t="shared" si="4"/>
        <v>Low (1-10%)</v>
      </c>
    </row>
    <row r="315" spans="1:19" x14ac:dyDescent="0.2">
      <c r="A315" t="s">
        <v>812</v>
      </c>
      <c r="B315" s="3" t="s">
        <v>52</v>
      </c>
      <c r="C315" t="s">
        <v>813</v>
      </c>
      <c r="D315" t="s">
        <v>17</v>
      </c>
      <c r="E315" t="s">
        <v>18</v>
      </c>
      <c r="F315" t="s">
        <v>19</v>
      </c>
      <c r="G315" t="s">
        <v>29</v>
      </c>
      <c r="H315" t="s">
        <v>30</v>
      </c>
      <c r="I315" s="4">
        <v>4523.76</v>
      </c>
      <c r="J315">
        <v>4</v>
      </c>
      <c r="K315" s="2">
        <v>0.05</v>
      </c>
      <c r="L315" s="4">
        <v>563.44000000000005</v>
      </c>
      <c r="M315" t="s">
        <v>117</v>
      </c>
      <c r="N315" t="s">
        <v>32</v>
      </c>
      <c r="O315">
        <f>YEAR(Table1[[#This Row],[Order Date]])</f>
        <v>2024</v>
      </c>
      <c r="P315" t="str">
        <f>TEXT(Table1[[#This Row],[Order Date]],"mmmm")</f>
        <v>December</v>
      </c>
      <c r="Q315" t="str">
        <f>TEXT(Table1[[#This Row],[Order Date]],"mm")</f>
        <v>12</v>
      </c>
      <c r="R315" s="2">
        <f>Table1[[#This Row],[Profit]]/Table1[[#This Row],[Sales]]</f>
        <v>0.12455125824535343</v>
      </c>
      <c r="S315" t="str">
        <f t="shared" si="4"/>
        <v>Low (1-10%)</v>
      </c>
    </row>
    <row r="316" spans="1:19" x14ac:dyDescent="0.2">
      <c r="A316" t="s">
        <v>814</v>
      </c>
      <c r="B316" s="3" t="s">
        <v>815</v>
      </c>
      <c r="C316" t="s">
        <v>792</v>
      </c>
      <c r="D316" t="s">
        <v>17</v>
      </c>
      <c r="E316" t="s">
        <v>80</v>
      </c>
      <c r="F316" t="s">
        <v>19</v>
      </c>
      <c r="G316" t="s">
        <v>20</v>
      </c>
      <c r="H316" t="s">
        <v>347</v>
      </c>
      <c r="I316" s="4">
        <v>1814.5</v>
      </c>
      <c r="J316">
        <v>10</v>
      </c>
      <c r="K316" s="2">
        <v>0.05</v>
      </c>
      <c r="L316" s="4">
        <v>294.66000000000003</v>
      </c>
      <c r="M316" t="s">
        <v>195</v>
      </c>
      <c r="N316" t="s">
        <v>32</v>
      </c>
      <c r="O316">
        <f>YEAR(Table1[[#This Row],[Order Date]])</f>
        <v>2025</v>
      </c>
      <c r="P316" t="str">
        <f>TEXT(Table1[[#This Row],[Order Date]],"mmmm")</f>
        <v>August</v>
      </c>
      <c r="Q316" t="str">
        <f>TEXT(Table1[[#This Row],[Order Date]],"mm")</f>
        <v>08</v>
      </c>
      <c r="R316" s="2">
        <f>Table1[[#This Row],[Profit]]/Table1[[#This Row],[Sales]]</f>
        <v>0.16239184348305319</v>
      </c>
      <c r="S316" t="str">
        <f t="shared" si="4"/>
        <v>Low (1-10%)</v>
      </c>
    </row>
    <row r="317" spans="1:19" x14ac:dyDescent="0.2">
      <c r="A317" t="s">
        <v>816</v>
      </c>
      <c r="B317" s="3" t="s">
        <v>592</v>
      </c>
      <c r="C317" t="s">
        <v>535</v>
      </c>
      <c r="D317" t="s">
        <v>137</v>
      </c>
      <c r="E317" t="s">
        <v>160</v>
      </c>
      <c r="F317" t="s">
        <v>55</v>
      </c>
      <c r="G317" t="s">
        <v>56</v>
      </c>
      <c r="H317" t="s">
        <v>129</v>
      </c>
      <c r="I317" s="4">
        <v>1793.56</v>
      </c>
      <c r="J317">
        <v>4</v>
      </c>
      <c r="K317" s="2">
        <v>0.25</v>
      </c>
      <c r="L317" s="4">
        <v>247.56</v>
      </c>
      <c r="M317" t="s">
        <v>44</v>
      </c>
      <c r="N317" t="s">
        <v>76</v>
      </c>
      <c r="O317">
        <f>YEAR(Table1[[#This Row],[Order Date]])</f>
        <v>2024</v>
      </c>
      <c r="P317" t="str">
        <f>TEXT(Table1[[#This Row],[Order Date]],"mmmm")</f>
        <v>August</v>
      </c>
      <c r="Q317" t="str">
        <f>TEXT(Table1[[#This Row],[Order Date]],"mm")</f>
        <v>08</v>
      </c>
      <c r="R317" s="2">
        <f>Table1[[#This Row],[Profit]]/Table1[[#This Row],[Sales]]</f>
        <v>0.13802716385289593</v>
      </c>
      <c r="S317" t="str">
        <f t="shared" si="4"/>
        <v>High (21-30%)</v>
      </c>
    </row>
    <row r="318" spans="1:19" x14ac:dyDescent="0.2">
      <c r="A318" t="s">
        <v>817</v>
      </c>
      <c r="B318" s="3" t="s">
        <v>119</v>
      </c>
      <c r="C318" t="s">
        <v>818</v>
      </c>
      <c r="D318" t="s">
        <v>48</v>
      </c>
      <c r="E318" t="s">
        <v>49</v>
      </c>
      <c r="F318" t="s">
        <v>19</v>
      </c>
      <c r="G318" t="s">
        <v>36</v>
      </c>
      <c r="H318" t="s">
        <v>37</v>
      </c>
      <c r="I318" s="4">
        <v>9809</v>
      </c>
      <c r="J318">
        <v>10</v>
      </c>
      <c r="K318" s="2">
        <v>0.05</v>
      </c>
      <c r="L318" s="4">
        <v>261.02999999999997</v>
      </c>
      <c r="M318" t="s">
        <v>63</v>
      </c>
      <c r="N318" t="s">
        <v>32</v>
      </c>
      <c r="O318">
        <f>YEAR(Table1[[#This Row],[Order Date]])</f>
        <v>2025</v>
      </c>
      <c r="P318" t="str">
        <f>TEXT(Table1[[#This Row],[Order Date]],"mmmm")</f>
        <v>December</v>
      </c>
      <c r="Q318" t="str">
        <f>TEXT(Table1[[#This Row],[Order Date]],"mm")</f>
        <v>12</v>
      </c>
      <c r="R318" s="2">
        <f>Table1[[#This Row],[Profit]]/Table1[[#This Row],[Sales]]</f>
        <v>2.6611275359363848E-2</v>
      </c>
      <c r="S318" t="str">
        <f t="shared" si="4"/>
        <v>Low (1-10%)</v>
      </c>
    </row>
    <row r="319" spans="1:19" x14ac:dyDescent="0.2">
      <c r="A319" t="s">
        <v>819</v>
      </c>
      <c r="B319" s="3" t="s">
        <v>820</v>
      </c>
      <c r="C319" t="s">
        <v>666</v>
      </c>
      <c r="D319" t="s">
        <v>17</v>
      </c>
      <c r="E319" t="s">
        <v>18</v>
      </c>
      <c r="F319" t="s">
        <v>55</v>
      </c>
      <c r="G319" t="s">
        <v>74</v>
      </c>
      <c r="H319" t="s">
        <v>272</v>
      </c>
      <c r="I319" s="4">
        <v>6971.58</v>
      </c>
      <c r="J319">
        <v>6</v>
      </c>
      <c r="K319" s="2">
        <v>0.1</v>
      </c>
      <c r="L319" s="4">
        <v>2152.0700000000002</v>
      </c>
      <c r="M319" t="s">
        <v>107</v>
      </c>
      <c r="N319" t="s">
        <v>76</v>
      </c>
      <c r="O319">
        <f>YEAR(Table1[[#This Row],[Order Date]])</f>
        <v>2025</v>
      </c>
      <c r="P319" t="str">
        <f>TEXT(Table1[[#This Row],[Order Date]],"mmmm")</f>
        <v>May</v>
      </c>
      <c r="Q319" t="str">
        <f>TEXT(Table1[[#This Row],[Order Date]],"mm")</f>
        <v>05</v>
      </c>
      <c r="R319" s="2">
        <f>Table1[[#This Row],[Profit]]/Table1[[#This Row],[Sales]]</f>
        <v>0.30869186038172125</v>
      </c>
      <c r="S319" t="str">
        <f t="shared" si="4"/>
        <v>Low (1-10%)</v>
      </c>
    </row>
    <row r="320" spans="1:19" x14ac:dyDescent="0.2">
      <c r="A320" t="s">
        <v>821</v>
      </c>
      <c r="B320" s="3" t="s">
        <v>394</v>
      </c>
      <c r="C320" t="s">
        <v>501</v>
      </c>
      <c r="D320" t="s">
        <v>27</v>
      </c>
      <c r="E320" t="s">
        <v>43</v>
      </c>
      <c r="F320" t="s">
        <v>55</v>
      </c>
      <c r="G320" t="s">
        <v>98</v>
      </c>
      <c r="H320" t="s">
        <v>150</v>
      </c>
      <c r="I320" s="4">
        <v>7682.58</v>
      </c>
      <c r="J320">
        <v>9</v>
      </c>
      <c r="K320" s="2">
        <v>0.3</v>
      </c>
      <c r="L320" s="4">
        <v>122.63</v>
      </c>
      <c r="M320" t="s">
        <v>44</v>
      </c>
      <c r="N320" t="s">
        <v>39</v>
      </c>
      <c r="O320">
        <f>YEAR(Table1[[#This Row],[Order Date]])</f>
        <v>2024</v>
      </c>
      <c r="P320" t="str">
        <f>TEXT(Table1[[#This Row],[Order Date]],"mmmm")</f>
        <v>September</v>
      </c>
      <c r="Q320" t="str">
        <f>TEXT(Table1[[#This Row],[Order Date]],"mm")</f>
        <v>09</v>
      </c>
      <c r="R320" s="2">
        <f>Table1[[#This Row],[Profit]]/Table1[[#This Row],[Sales]]</f>
        <v>1.5962085653517439E-2</v>
      </c>
      <c r="S320" t="str">
        <f t="shared" si="4"/>
        <v>High (21-30%)</v>
      </c>
    </row>
    <row r="321" spans="1:19" x14ac:dyDescent="0.2">
      <c r="A321" t="s">
        <v>822</v>
      </c>
      <c r="B321" s="3" t="s">
        <v>823</v>
      </c>
      <c r="C321" t="s">
        <v>824</v>
      </c>
      <c r="D321" t="s">
        <v>137</v>
      </c>
      <c r="E321" t="s">
        <v>242</v>
      </c>
      <c r="F321" t="s">
        <v>19</v>
      </c>
      <c r="G321" t="s">
        <v>20</v>
      </c>
      <c r="H321" t="s">
        <v>21</v>
      </c>
      <c r="I321" s="4">
        <v>7173.18</v>
      </c>
      <c r="J321">
        <v>7</v>
      </c>
      <c r="K321" s="2">
        <v>0.15</v>
      </c>
      <c r="L321" s="4">
        <v>581.89</v>
      </c>
      <c r="M321" t="s">
        <v>87</v>
      </c>
      <c r="N321" t="s">
        <v>32</v>
      </c>
      <c r="O321">
        <f>YEAR(Table1[[#This Row],[Order Date]])</f>
        <v>2024</v>
      </c>
      <c r="P321" t="str">
        <f>TEXT(Table1[[#This Row],[Order Date]],"mmmm")</f>
        <v>May</v>
      </c>
      <c r="Q321" t="str">
        <f>TEXT(Table1[[#This Row],[Order Date]],"mm")</f>
        <v>05</v>
      </c>
      <c r="R321" s="2">
        <f>Table1[[#This Row],[Profit]]/Table1[[#This Row],[Sales]]</f>
        <v>8.1120228406369274E-2</v>
      </c>
      <c r="S321" t="str">
        <f t="shared" si="4"/>
        <v>Medium (11-20%)</v>
      </c>
    </row>
    <row r="322" spans="1:19" x14ac:dyDescent="0.2">
      <c r="A322" t="s">
        <v>825</v>
      </c>
      <c r="B322" s="3" t="s">
        <v>227</v>
      </c>
      <c r="C322" t="s">
        <v>205</v>
      </c>
      <c r="D322" t="s">
        <v>48</v>
      </c>
      <c r="E322" t="s">
        <v>110</v>
      </c>
      <c r="F322" t="s">
        <v>67</v>
      </c>
      <c r="G322" t="s">
        <v>68</v>
      </c>
      <c r="H322" t="s">
        <v>382</v>
      </c>
      <c r="I322" s="4">
        <v>1282.68</v>
      </c>
      <c r="J322">
        <v>9</v>
      </c>
      <c r="K322" s="2">
        <v>0.25</v>
      </c>
      <c r="L322" s="4">
        <v>20.190000000000001</v>
      </c>
      <c r="M322" t="s">
        <v>63</v>
      </c>
      <c r="N322" t="s">
        <v>76</v>
      </c>
      <c r="O322">
        <f>YEAR(Table1[[#This Row],[Order Date]])</f>
        <v>2025</v>
      </c>
      <c r="P322" t="str">
        <f>TEXT(Table1[[#This Row],[Order Date]],"mmmm")</f>
        <v>November</v>
      </c>
      <c r="Q322" t="str">
        <f>TEXT(Table1[[#This Row],[Order Date]],"mm")</f>
        <v>11</v>
      </c>
      <c r="R322" s="2">
        <f>Table1[[#This Row],[Profit]]/Table1[[#This Row],[Sales]]</f>
        <v>1.5740480868182243E-2</v>
      </c>
      <c r="S322" t="str">
        <f t="shared" ref="S322:S385" si="5">IF(K322=0,"No Discount",
IF(K322&lt;=0.1,"Low (1-10%)",
IF(K322&lt;=0.2,"Medium (11-20%)",
IF(K322&lt;=0.3,"High (21-30%)","Very High (&gt;30%)"))))</f>
        <v>High (21-30%)</v>
      </c>
    </row>
    <row r="323" spans="1:19" x14ac:dyDescent="0.2">
      <c r="A323" t="s">
        <v>826</v>
      </c>
      <c r="B323" s="3" t="s">
        <v>283</v>
      </c>
      <c r="C323" t="s">
        <v>286</v>
      </c>
      <c r="D323" t="s">
        <v>48</v>
      </c>
      <c r="E323" t="s">
        <v>73</v>
      </c>
      <c r="F323" t="s">
        <v>55</v>
      </c>
      <c r="G323" t="s">
        <v>98</v>
      </c>
      <c r="H323" t="s">
        <v>154</v>
      </c>
      <c r="I323" s="4">
        <v>2711.88</v>
      </c>
      <c r="J323">
        <v>9</v>
      </c>
      <c r="K323" s="2">
        <v>0</v>
      </c>
      <c r="L323" s="4">
        <v>349.86</v>
      </c>
      <c r="M323" t="s">
        <v>143</v>
      </c>
      <c r="N323" t="s">
        <v>32</v>
      </c>
      <c r="O323">
        <f>YEAR(Table1[[#This Row],[Order Date]])</f>
        <v>2025</v>
      </c>
      <c r="P323" t="str">
        <f>TEXT(Table1[[#This Row],[Order Date]],"mmmm")</f>
        <v>August</v>
      </c>
      <c r="Q323" t="str">
        <f>TEXT(Table1[[#This Row],[Order Date]],"mm")</f>
        <v>08</v>
      </c>
      <c r="R323" s="2">
        <f>Table1[[#This Row],[Profit]]/Table1[[#This Row],[Sales]]</f>
        <v>0.12901013319173416</v>
      </c>
      <c r="S323" t="str">
        <f t="shared" si="5"/>
        <v>No Discount</v>
      </c>
    </row>
    <row r="324" spans="1:19" x14ac:dyDescent="0.2">
      <c r="A324" t="s">
        <v>827</v>
      </c>
      <c r="B324" s="3" t="s">
        <v>828</v>
      </c>
      <c r="C324" t="s">
        <v>630</v>
      </c>
      <c r="D324" t="s">
        <v>48</v>
      </c>
      <c r="E324" t="s">
        <v>49</v>
      </c>
      <c r="F324" t="s">
        <v>19</v>
      </c>
      <c r="G324" t="s">
        <v>20</v>
      </c>
      <c r="H324" t="s">
        <v>239</v>
      </c>
      <c r="I324" s="4">
        <v>605.46</v>
      </c>
      <c r="J324">
        <v>6</v>
      </c>
      <c r="K324" s="2">
        <v>0.1</v>
      </c>
      <c r="L324" s="4">
        <v>102.6</v>
      </c>
      <c r="M324" t="s">
        <v>38</v>
      </c>
      <c r="N324" t="s">
        <v>23</v>
      </c>
      <c r="O324">
        <f>YEAR(Table1[[#This Row],[Order Date]])</f>
        <v>2024</v>
      </c>
      <c r="P324" t="str">
        <f>TEXT(Table1[[#This Row],[Order Date]],"mmmm")</f>
        <v>August</v>
      </c>
      <c r="Q324" t="str">
        <f>TEXT(Table1[[#This Row],[Order Date]],"mm")</f>
        <v>08</v>
      </c>
      <c r="R324" s="2">
        <f>Table1[[#This Row],[Profit]]/Table1[[#This Row],[Sales]]</f>
        <v>0.16945793281141611</v>
      </c>
      <c r="S324" t="str">
        <f t="shared" si="5"/>
        <v>Low (1-10%)</v>
      </c>
    </row>
    <row r="325" spans="1:19" x14ac:dyDescent="0.2">
      <c r="A325" t="s">
        <v>829</v>
      </c>
      <c r="B325" s="3" t="s">
        <v>488</v>
      </c>
      <c r="C325" t="s">
        <v>123</v>
      </c>
      <c r="D325" t="s">
        <v>137</v>
      </c>
      <c r="E325" t="s">
        <v>160</v>
      </c>
      <c r="F325" t="s">
        <v>67</v>
      </c>
      <c r="G325" t="s">
        <v>68</v>
      </c>
      <c r="H325" t="s">
        <v>103</v>
      </c>
      <c r="I325" s="4">
        <v>4686.57</v>
      </c>
      <c r="J325">
        <v>7</v>
      </c>
      <c r="K325" s="2">
        <v>0.2</v>
      </c>
      <c r="L325" s="4">
        <v>911.78</v>
      </c>
      <c r="M325" t="s">
        <v>38</v>
      </c>
      <c r="N325" t="s">
        <v>39</v>
      </c>
      <c r="O325">
        <f>YEAR(Table1[[#This Row],[Order Date]])</f>
        <v>2025</v>
      </c>
      <c r="P325" t="str">
        <f>TEXT(Table1[[#This Row],[Order Date]],"mmmm")</f>
        <v>June</v>
      </c>
      <c r="Q325" t="str">
        <f>TEXT(Table1[[#This Row],[Order Date]],"mm")</f>
        <v>06</v>
      </c>
      <c r="R325" s="2">
        <f>Table1[[#This Row],[Profit]]/Table1[[#This Row],[Sales]]</f>
        <v>0.19455166571714497</v>
      </c>
      <c r="S325" t="str">
        <f t="shared" si="5"/>
        <v>Medium (11-20%)</v>
      </c>
    </row>
    <row r="326" spans="1:19" x14ac:dyDescent="0.2">
      <c r="A326" t="s">
        <v>830</v>
      </c>
      <c r="B326" s="3" t="s">
        <v>521</v>
      </c>
      <c r="C326" t="s">
        <v>146</v>
      </c>
      <c r="D326" t="s">
        <v>48</v>
      </c>
      <c r="E326" t="s">
        <v>73</v>
      </c>
      <c r="F326" t="s">
        <v>19</v>
      </c>
      <c r="G326" t="s">
        <v>20</v>
      </c>
      <c r="H326" t="s">
        <v>239</v>
      </c>
      <c r="I326" s="4">
        <v>6021.1</v>
      </c>
      <c r="J326">
        <v>10</v>
      </c>
      <c r="K326" s="2">
        <v>0.25</v>
      </c>
      <c r="L326" s="4">
        <v>1096.19</v>
      </c>
      <c r="M326" t="s">
        <v>195</v>
      </c>
      <c r="N326" t="s">
        <v>23</v>
      </c>
      <c r="O326">
        <f>YEAR(Table1[[#This Row],[Order Date]])</f>
        <v>2024</v>
      </c>
      <c r="P326" t="str">
        <f>TEXT(Table1[[#This Row],[Order Date]],"mmmm")</f>
        <v>March</v>
      </c>
      <c r="Q326" t="str">
        <f>TEXT(Table1[[#This Row],[Order Date]],"mm")</f>
        <v>03</v>
      </c>
      <c r="R326" s="2">
        <f>Table1[[#This Row],[Profit]]/Table1[[#This Row],[Sales]]</f>
        <v>0.18205809569679959</v>
      </c>
      <c r="S326" t="str">
        <f t="shared" si="5"/>
        <v>High (21-30%)</v>
      </c>
    </row>
    <row r="327" spans="1:19" x14ac:dyDescent="0.2">
      <c r="A327" t="s">
        <v>831</v>
      </c>
      <c r="B327" s="3" t="s">
        <v>321</v>
      </c>
      <c r="C327" t="s">
        <v>473</v>
      </c>
      <c r="D327" t="s">
        <v>137</v>
      </c>
      <c r="E327" t="s">
        <v>242</v>
      </c>
      <c r="F327" t="s">
        <v>55</v>
      </c>
      <c r="G327" t="s">
        <v>56</v>
      </c>
      <c r="H327" t="s">
        <v>129</v>
      </c>
      <c r="I327" s="4">
        <v>2159.2199999999998</v>
      </c>
      <c r="J327">
        <v>2</v>
      </c>
      <c r="K327" s="2">
        <v>0.1</v>
      </c>
      <c r="L327" s="4">
        <v>-94.49</v>
      </c>
      <c r="M327" t="s">
        <v>63</v>
      </c>
      <c r="N327" t="s">
        <v>39</v>
      </c>
      <c r="O327">
        <f>YEAR(Table1[[#This Row],[Order Date]])</f>
        <v>2024</v>
      </c>
      <c r="P327" t="str">
        <f>TEXT(Table1[[#This Row],[Order Date]],"mmmm")</f>
        <v>August</v>
      </c>
      <c r="Q327" t="str">
        <f>TEXT(Table1[[#This Row],[Order Date]],"mm")</f>
        <v>08</v>
      </c>
      <c r="R327" s="2">
        <f>Table1[[#This Row],[Profit]]/Table1[[#This Row],[Sales]]</f>
        <v>-4.3761173016181772E-2</v>
      </c>
      <c r="S327" t="str">
        <f t="shared" si="5"/>
        <v>Low (1-10%)</v>
      </c>
    </row>
    <row r="328" spans="1:19" x14ac:dyDescent="0.2">
      <c r="A328" t="s">
        <v>832</v>
      </c>
      <c r="B328" s="3" t="s">
        <v>833</v>
      </c>
      <c r="C328" t="s">
        <v>652</v>
      </c>
      <c r="D328" t="s">
        <v>27</v>
      </c>
      <c r="E328" t="s">
        <v>43</v>
      </c>
      <c r="F328" t="s">
        <v>55</v>
      </c>
      <c r="G328" t="s">
        <v>56</v>
      </c>
      <c r="H328" t="s">
        <v>62</v>
      </c>
      <c r="I328" s="4">
        <v>130.15</v>
      </c>
      <c r="J328">
        <v>1</v>
      </c>
      <c r="K328" s="2">
        <v>0.25</v>
      </c>
      <c r="L328" s="4">
        <v>5.98</v>
      </c>
      <c r="M328" t="s">
        <v>117</v>
      </c>
      <c r="N328" t="s">
        <v>39</v>
      </c>
      <c r="O328">
        <f>YEAR(Table1[[#This Row],[Order Date]])</f>
        <v>2025</v>
      </c>
      <c r="P328" t="str">
        <f>TEXT(Table1[[#This Row],[Order Date]],"mmmm")</f>
        <v>September</v>
      </c>
      <c r="Q328" t="str">
        <f>TEXT(Table1[[#This Row],[Order Date]],"mm")</f>
        <v>09</v>
      </c>
      <c r="R328" s="2">
        <f>Table1[[#This Row],[Profit]]/Table1[[#This Row],[Sales]]</f>
        <v>4.5946984248943529E-2</v>
      </c>
      <c r="S328" t="str">
        <f t="shared" si="5"/>
        <v>High (21-30%)</v>
      </c>
    </row>
    <row r="329" spans="1:19" x14ac:dyDescent="0.2">
      <c r="A329" t="s">
        <v>834</v>
      </c>
      <c r="B329" s="3" t="s">
        <v>835</v>
      </c>
      <c r="C329" t="s">
        <v>411</v>
      </c>
      <c r="D329" t="s">
        <v>27</v>
      </c>
      <c r="E329" t="s">
        <v>43</v>
      </c>
      <c r="F329" t="s">
        <v>55</v>
      </c>
      <c r="G329" t="s">
        <v>98</v>
      </c>
      <c r="H329" t="s">
        <v>99</v>
      </c>
      <c r="I329" s="4">
        <v>4889.04</v>
      </c>
      <c r="J329">
        <v>8</v>
      </c>
      <c r="K329" s="2">
        <v>0.15</v>
      </c>
      <c r="L329" s="4">
        <v>-184.21</v>
      </c>
      <c r="M329" t="s">
        <v>22</v>
      </c>
      <c r="N329" t="s">
        <v>32</v>
      </c>
      <c r="O329">
        <f>YEAR(Table1[[#This Row],[Order Date]])</f>
        <v>2024</v>
      </c>
      <c r="P329" t="str">
        <f>TEXT(Table1[[#This Row],[Order Date]],"mmmm")</f>
        <v>July</v>
      </c>
      <c r="Q329" t="str">
        <f>TEXT(Table1[[#This Row],[Order Date]],"mm")</f>
        <v>07</v>
      </c>
      <c r="R329" s="2">
        <f>Table1[[#This Row],[Profit]]/Table1[[#This Row],[Sales]]</f>
        <v>-3.767815358434376E-2</v>
      </c>
      <c r="S329" t="str">
        <f t="shared" si="5"/>
        <v>Medium (11-20%)</v>
      </c>
    </row>
    <row r="330" spans="1:19" x14ac:dyDescent="0.2">
      <c r="A330" t="s">
        <v>836</v>
      </c>
      <c r="B330" s="3" t="s">
        <v>837</v>
      </c>
      <c r="C330" t="s">
        <v>652</v>
      </c>
      <c r="D330" t="s">
        <v>48</v>
      </c>
      <c r="E330" t="s">
        <v>73</v>
      </c>
      <c r="F330" t="s">
        <v>55</v>
      </c>
      <c r="G330" t="s">
        <v>74</v>
      </c>
      <c r="H330" t="s">
        <v>133</v>
      </c>
      <c r="I330" s="4">
        <v>5888.55</v>
      </c>
      <c r="J330">
        <v>5</v>
      </c>
      <c r="K330" s="2">
        <v>0.25</v>
      </c>
      <c r="L330" s="4">
        <v>-1095.72</v>
      </c>
      <c r="M330" t="s">
        <v>195</v>
      </c>
      <c r="N330" t="s">
        <v>76</v>
      </c>
      <c r="O330">
        <f>YEAR(Table1[[#This Row],[Order Date]])</f>
        <v>2025</v>
      </c>
      <c r="P330" t="str">
        <f>TEXT(Table1[[#This Row],[Order Date]],"mmmm")</f>
        <v>December</v>
      </c>
      <c r="Q330" t="str">
        <f>TEXT(Table1[[#This Row],[Order Date]],"mm")</f>
        <v>12</v>
      </c>
      <c r="R330" s="2">
        <f>Table1[[#This Row],[Profit]]/Table1[[#This Row],[Sales]]</f>
        <v>-0.18607636854573706</v>
      </c>
      <c r="S330" t="str">
        <f t="shared" si="5"/>
        <v>High (21-30%)</v>
      </c>
    </row>
    <row r="331" spans="1:19" x14ac:dyDescent="0.2">
      <c r="A331" t="s">
        <v>838</v>
      </c>
      <c r="B331" s="3" t="s">
        <v>839</v>
      </c>
      <c r="C331" t="s">
        <v>395</v>
      </c>
      <c r="D331" t="s">
        <v>48</v>
      </c>
      <c r="E331" t="s">
        <v>84</v>
      </c>
      <c r="F331" t="s">
        <v>67</v>
      </c>
      <c r="G331" t="s">
        <v>115</v>
      </c>
      <c r="H331" t="s">
        <v>116</v>
      </c>
      <c r="I331" s="4">
        <v>756.2</v>
      </c>
      <c r="J331">
        <v>2</v>
      </c>
      <c r="K331" s="2">
        <v>0.15</v>
      </c>
      <c r="L331" s="4">
        <v>-0.08</v>
      </c>
      <c r="M331" t="s">
        <v>38</v>
      </c>
      <c r="N331" t="s">
        <v>32</v>
      </c>
      <c r="O331">
        <f>YEAR(Table1[[#This Row],[Order Date]])</f>
        <v>2025</v>
      </c>
      <c r="P331" t="str">
        <f>TEXT(Table1[[#This Row],[Order Date]],"mmmm")</f>
        <v>June</v>
      </c>
      <c r="Q331" t="str">
        <f>TEXT(Table1[[#This Row],[Order Date]],"mm")</f>
        <v>06</v>
      </c>
      <c r="R331" s="2">
        <f>Table1[[#This Row],[Profit]]/Table1[[#This Row],[Sales]]</f>
        <v>-1.057921184871727E-4</v>
      </c>
      <c r="S331" t="str">
        <f t="shared" si="5"/>
        <v>Medium (11-20%)</v>
      </c>
    </row>
    <row r="332" spans="1:19" x14ac:dyDescent="0.2">
      <c r="A332" t="s">
        <v>840</v>
      </c>
      <c r="B332" s="3" t="s">
        <v>127</v>
      </c>
      <c r="C332" t="s">
        <v>841</v>
      </c>
      <c r="D332" t="s">
        <v>48</v>
      </c>
      <c r="E332" t="s">
        <v>73</v>
      </c>
      <c r="F332" t="s">
        <v>19</v>
      </c>
      <c r="G332" t="s">
        <v>36</v>
      </c>
      <c r="H332" t="s">
        <v>37</v>
      </c>
      <c r="I332" s="4">
        <v>141.30000000000001</v>
      </c>
      <c r="J332">
        <v>2</v>
      </c>
      <c r="K332" s="2">
        <v>0.1</v>
      </c>
      <c r="L332" s="4">
        <v>22.34</v>
      </c>
      <c r="M332" t="s">
        <v>22</v>
      </c>
      <c r="N332" t="s">
        <v>39</v>
      </c>
      <c r="O332">
        <f>YEAR(Table1[[#This Row],[Order Date]])</f>
        <v>2024</v>
      </c>
      <c r="P332" t="str">
        <f>TEXT(Table1[[#This Row],[Order Date]],"mmmm")</f>
        <v>December</v>
      </c>
      <c r="Q332" t="str">
        <f>TEXT(Table1[[#This Row],[Order Date]],"mm")</f>
        <v>12</v>
      </c>
      <c r="R332" s="2">
        <f>Table1[[#This Row],[Profit]]/Table1[[#This Row],[Sales]]</f>
        <v>0.15810332625619247</v>
      </c>
      <c r="S332" t="str">
        <f t="shared" si="5"/>
        <v>Low (1-10%)</v>
      </c>
    </row>
    <row r="333" spans="1:19" x14ac:dyDescent="0.2">
      <c r="A333" t="s">
        <v>842</v>
      </c>
      <c r="B333" s="3" t="s">
        <v>148</v>
      </c>
      <c r="C333" t="s">
        <v>843</v>
      </c>
      <c r="D333" t="s">
        <v>17</v>
      </c>
      <c r="E333" t="s">
        <v>80</v>
      </c>
      <c r="F333" t="s">
        <v>19</v>
      </c>
      <c r="G333" t="s">
        <v>36</v>
      </c>
      <c r="H333" t="s">
        <v>111</v>
      </c>
      <c r="I333" s="4">
        <v>1272.1199999999999</v>
      </c>
      <c r="J333">
        <v>6</v>
      </c>
      <c r="K333" s="2">
        <v>0.3</v>
      </c>
      <c r="L333" s="4">
        <v>-208.05</v>
      </c>
      <c r="M333" t="s">
        <v>38</v>
      </c>
      <c r="N333" t="s">
        <v>23</v>
      </c>
      <c r="O333">
        <f>YEAR(Table1[[#This Row],[Order Date]])</f>
        <v>2025</v>
      </c>
      <c r="P333" t="str">
        <f>TEXT(Table1[[#This Row],[Order Date]],"mmmm")</f>
        <v>September</v>
      </c>
      <c r="Q333" t="str">
        <f>TEXT(Table1[[#This Row],[Order Date]],"mm")</f>
        <v>09</v>
      </c>
      <c r="R333" s="2">
        <f>Table1[[#This Row],[Profit]]/Table1[[#This Row],[Sales]]</f>
        <v>-0.16354589189699087</v>
      </c>
      <c r="S333" t="str">
        <f t="shared" si="5"/>
        <v>High (21-30%)</v>
      </c>
    </row>
    <row r="334" spans="1:19" x14ac:dyDescent="0.2">
      <c r="A334" t="s">
        <v>844</v>
      </c>
      <c r="B334" s="3" t="s">
        <v>845</v>
      </c>
      <c r="C334" t="s">
        <v>846</v>
      </c>
      <c r="D334" t="s">
        <v>137</v>
      </c>
      <c r="E334" t="s">
        <v>138</v>
      </c>
      <c r="F334" t="s">
        <v>19</v>
      </c>
      <c r="G334" t="s">
        <v>20</v>
      </c>
      <c r="H334" t="s">
        <v>347</v>
      </c>
      <c r="I334" s="4">
        <v>2941.89</v>
      </c>
      <c r="J334">
        <v>3</v>
      </c>
      <c r="K334" s="2">
        <v>0.2</v>
      </c>
      <c r="L334" s="4">
        <v>401.47</v>
      </c>
      <c r="M334" t="s">
        <v>63</v>
      </c>
      <c r="N334" t="s">
        <v>32</v>
      </c>
      <c r="O334">
        <f>YEAR(Table1[[#This Row],[Order Date]])</f>
        <v>2024</v>
      </c>
      <c r="P334" t="str">
        <f>TEXT(Table1[[#This Row],[Order Date]],"mmmm")</f>
        <v>May</v>
      </c>
      <c r="Q334" t="str">
        <f>TEXT(Table1[[#This Row],[Order Date]],"mm")</f>
        <v>05</v>
      </c>
      <c r="R334" s="2">
        <f>Table1[[#This Row],[Profit]]/Table1[[#This Row],[Sales]]</f>
        <v>0.13646669318023449</v>
      </c>
      <c r="S334" t="str">
        <f t="shared" si="5"/>
        <v>Medium (11-20%)</v>
      </c>
    </row>
    <row r="335" spans="1:19" x14ac:dyDescent="0.2">
      <c r="A335" t="s">
        <v>847</v>
      </c>
      <c r="B335" s="3" t="s">
        <v>848</v>
      </c>
      <c r="C335" t="s">
        <v>535</v>
      </c>
      <c r="D335" t="s">
        <v>48</v>
      </c>
      <c r="E335" t="s">
        <v>110</v>
      </c>
      <c r="F335" t="s">
        <v>19</v>
      </c>
      <c r="G335" t="s">
        <v>36</v>
      </c>
      <c r="H335" t="s">
        <v>222</v>
      </c>
      <c r="I335" s="4">
        <v>5631</v>
      </c>
      <c r="J335">
        <v>6</v>
      </c>
      <c r="K335" s="2">
        <v>0.15</v>
      </c>
      <c r="L335" s="4">
        <v>1267.9100000000001</v>
      </c>
      <c r="M335" t="s">
        <v>38</v>
      </c>
      <c r="N335" t="s">
        <v>76</v>
      </c>
      <c r="O335">
        <f>YEAR(Table1[[#This Row],[Order Date]])</f>
        <v>2024</v>
      </c>
      <c r="P335" t="str">
        <f>TEXT(Table1[[#This Row],[Order Date]],"mmmm")</f>
        <v>July</v>
      </c>
      <c r="Q335" t="str">
        <f>TEXT(Table1[[#This Row],[Order Date]],"mm")</f>
        <v>07</v>
      </c>
      <c r="R335" s="2">
        <f>Table1[[#This Row],[Profit]]/Table1[[#This Row],[Sales]]</f>
        <v>0.22516604510744095</v>
      </c>
      <c r="S335" t="str">
        <f t="shared" si="5"/>
        <v>Medium (11-20%)</v>
      </c>
    </row>
    <row r="336" spans="1:19" x14ac:dyDescent="0.2">
      <c r="A336" t="s">
        <v>849</v>
      </c>
      <c r="B336" s="3" t="s">
        <v>850</v>
      </c>
      <c r="C336" t="s">
        <v>851</v>
      </c>
      <c r="D336" t="s">
        <v>137</v>
      </c>
      <c r="E336" t="s">
        <v>138</v>
      </c>
      <c r="F336" t="s">
        <v>67</v>
      </c>
      <c r="G336" t="s">
        <v>115</v>
      </c>
      <c r="H336" t="s">
        <v>212</v>
      </c>
      <c r="I336" s="4">
        <v>1340.43</v>
      </c>
      <c r="J336">
        <v>7</v>
      </c>
      <c r="K336" s="2">
        <v>0.2</v>
      </c>
      <c r="L336" s="4">
        <v>64.430000000000007</v>
      </c>
      <c r="M336" t="s">
        <v>107</v>
      </c>
      <c r="N336" t="s">
        <v>23</v>
      </c>
      <c r="O336">
        <f>YEAR(Table1[[#This Row],[Order Date]])</f>
        <v>2024</v>
      </c>
      <c r="P336" t="str">
        <f>TEXT(Table1[[#This Row],[Order Date]],"mmmm")</f>
        <v>October</v>
      </c>
      <c r="Q336" t="str">
        <f>TEXT(Table1[[#This Row],[Order Date]],"mm")</f>
        <v>10</v>
      </c>
      <c r="R336" s="2">
        <f>Table1[[#This Row],[Profit]]/Table1[[#This Row],[Sales]]</f>
        <v>4.8066665174608149E-2</v>
      </c>
      <c r="S336" t="str">
        <f t="shared" si="5"/>
        <v>Medium (11-20%)</v>
      </c>
    </row>
    <row r="337" spans="1:19" x14ac:dyDescent="0.2">
      <c r="A337" t="s">
        <v>852</v>
      </c>
      <c r="B337" s="3" t="s">
        <v>313</v>
      </c>
      <c r="C337" t="s">
        <v>189</v>
      </c>
      <c r="D337" t="s">
        <v>27</v>
      </c>
      <c r="E337" t="s">
        <v>43</v>
      </c>
      <c r="F337" t="s">
        <v>19</v>
      </c>
      <c r="G337" t="s">
        <v>20</v>
      </c>
      <c r="H337" t="s">
        <v>347</v>
      </c>
      <c r="I337" s="4">
        <v>11019.7</v>
      </c>
      <c r="J337">
        <v>10</v>
      </c>
      <c r="K337" s="2">
        <v>0.05</v>
      </c>
      <c r="L337" s="4">
        <v>3253.1</v>
      </c>
      <c r="M337" t="s">
        <v>117</v>
      </c>
      <c r="N337" t="s">
        <v>23</v>
      </c>
      <c r="O337">
        <f>YEAR(Table1[[#This Row],[Order Date]])</f>
        <v>2025</v>
      </c>
      <c r="P337" t="str">
        <f>TEXT(Table1[[#This Row],[Order Date]],"mmmm")</f>
        <v>April</v>
      </c>
      <c r="Q337" t="str">
        <f>TEXT(Table1[[#This Row],[Order Date]],"mm")</f>
        <v>04</v>
      </c>
      <c r="R337" s="2">
        <f>Table1[[#This Row],[Profit]]/Table1[[#This Row],[Sales]]</f>
        <v>0.29520767353013239</v>
      </c>
      <c r="S337" t="str">
        <f t="shared" si="5"/>
        <v>Low (1-10%)</v>
      </c>
    </row>
    <row r="338" spans="1:19" x14ac:dyDescent="0.2">
      <c r="A338" t="s">
        <v>853</v>
      </c>
      <c r="B338" s="3" t="s">
        <v>854</v>
      </c>
      <c r="C338" t="s">
        <v>346</v>
      </c>
      <c r="D338" t="s">
        <v>17</v>
      </c>
      <c r="E338" t="s">
        <v>54</v>
      </c>
      <c r="F338" t="s">
        <v>67</v>
      </c>
      <c r="G338" t="s">
        <v>85</v>
      </c>
      <c r="H338" t="s">
        <v>253</v>
      </c>
      <c r="I338" s="4">
        <v>10230</v>
      </c>
      <c r="J338">
        <v>10</v>
      </c>
      <c r="K338" s="2">
        <v>0.3</v>
      </c>
      <c r="L338" s="4">
        <v>-1953.84</v>
      </c>
      <c r="M338" t="s">
        <v>31</v>
      </c>
      <c r="N338" t="s">
        <v>39</v>
      </c>
      <c r="O338">
        <f>YEAR(Table1[[#This Row],[Order Date]])</f>
        <v>2025</v>
      </c>
      <c r="P338" t="str">
        <f>TEXT(Table1[[#This Row],[Order Date]],"mmmm")</f>
        <v>May</v>
      </c>
      <c r="Q338" t="str">
        <f>TEXT(Table1[[#This Row],[Order Date]],"mm")</f>
        <v>05</v>
      </c>
      <c r="R338" s="2">
        <f>Table1[[#This Row],[Profit]]/Table1[[#This Row],[Sales]]</f>
        <v>-0.19099120234604106</v>
      </c>
      <c r="S338" t="str">
        <f t="shared" si="5"/>
        <v>High (21-30%)</v>
      </c>
    </row>
    <row r="339" spans="1:19" x14ac:dyDescent="0.2">
      <c r="A339" t="s">
        <v>855</v>
      </c>
      <c r="B339" s="3" t="s">
        <v>856</v>
      </c>
      <c r="C339" t="s">
        <v>857</v>
      </c>
      <c r="D339" t="s">
        <v>137</v>
      </c>
      <c r="E339" t="s">
        <v>138</v>
      </c>
      <c r="F339" t="s">
        <v>67</v>
      </c>
      <c r="G339" t="s">
        <v>68</v>
      </c>
      <c r="H339" t="s">
        <v>103</v>
      </c>
      <c r="I339" s="4">
        <v>3400.11</v>
      </c>
      <c r="J339">
        <v>9</v>
      </c>
      <c r="K339" s="2">
        <v>0.15</v>
      </c>
      <c r="L339" s="4">
        <v>874.13</v>
      </c>
      <c r="M339" t="s">
        <v>87</v>
      </c>
      <c r="N339" t="s">
        <v>23</v>
      </c>
      <c r="O339">
        <f>YEAR(Table1[[#This Row],[Order Date]])</f>
        <v>2024</v>
      </c>
      <c r="P339" t="str">
        <f>TEXT(Table1[[#This Row],[Order Date]],"mmmm")</f>
        <v>September</v>
      </c>
      <c r="Q339" t="str">
        <f>TEXT(Table1[[#This Row],[Order Date]],"mm")</f>
        <v>09</v>
      </c>
      <c r="R339" s="2">
        <f>Table1[[#This Row],[Profit]]/Table1[[#This Row],[Sales]]</f>
        <v>0.25708874124660669</v>
      </c>
      <c r="S339" t="str">
        <f t="shared" si="5"/>
        <v>Medium (11-20%)</v>
      </c>
    </row>
    <row r="340" spans="1:19" x14ac:dyDescent="0.2">
      <c r="A340" t="s">
        <v>858</v>
      </c>
      <c r="B340" s="3" t="s">
        <v>835</v>
      </c>
      <c r="C340" t="s">
        <v>859</v>
      </c>
      <c r="D340" t="s">
        <v>17</v>
      </c>
      <c r="E340" t="s">
        <v>80</v>
      </c>
      <c r="F340" t="s">
        <v>67</v>
      </c>
      <c r="G340" t="s">
        <v>85</v>
      </c>
      <c r="H340" t="s">
        <v>253</v>
      </c>
      <c r="I340" s="4">
        <v>519.08000000000004</v>
      </c>
      <c r="J340">
        <v>2</v>
      </c>
      <c r="K340" s="2">
        <v>0.05</v>
      </c>
      <c r="L340" s="4">
        <v>161.53</v>
      </c>
      <c r="M340" t="s">
        <v>31</v>
      </c>
      <c r="N340" t="s">
        <v>39</v>
      </c>
      <c r="O340">
        <f>YEAR(Table1[[#This Row],[Order Date]])</f>
        <v>2024</v>
      </c>
      <c r="P340" t="str">
        <f>TEXT(Table1[[#This Row],[Order Date]],"mmmm")</f>
        <v>July</v>
      </c>
      <c r="Q340" t="str">
        <f>TEXT(Table1[[#This Row],[Order Date]],"mm")</f>
        <v>07</v>
      </c>
      <c r="R340" s="2">
        <f>Table1[[#This Row],[Profit]]/Table1[[#This Row],[Sales]]</f>
        <v>0.31118517376897586</v>
      </c>
      <c r="S340" t="str">
        <f t="shared" si="5"/>
        <v>Low (1-10%)</v>
      </c>
    </row>
    <row r="341" spans="1:19" x14ac:dyDescent="0.2">
      <c r="A341" t="s">
        <v>860</v>
      </c>
      <c r="B341" s="3" t="s">
        <v>861</v>
      </c>
      <c r="C341" t="s">
        <v>149</v>
      </c>
      <c r="D341" t="s">
        <v>17</v>
      </c>
      <c r="E341" t="s">
        <v>80</v>
      </c>
      <c r="F341" t="s">
        <v>55</v>
      </c>
      <c r="G341" t="s">
        <v>98</v>
      </c>
      <c r="H341" t="s">
        <v>99</v>
      </c>
      <c r="I341" s="4">
        <v>936.74</v>
      </c>
      <c r="J341">
        <v>2</v>
      </c>
      <c r="K341" s="2">
        <v>0.25</v>
      </c>
      <c r="L341" s="4">
        <v>50.32</v>
      </c>
      <c r="M341" t="s">
        <v>87</v>
      </c>
      <c r="N341" t="s">
        <v>39</v>
      </c>
      <c r="O341">
        <f>YEAR(Table1[[#This Row],[Order Date]])</f>
        <v>2024</v>
      </c>
      <c r="P341" t="str">
        <f>TEXT(Table1[[#This Row],[Order Date]],"mmmm")</f>
        <v>October</v>
      </c>
      <c r="Q341" t="str">
        <f>TEXT(Table1[[#This Row],[Order Date]],"mm")</f>
        <v>10</v>
      </c>
      <c r="R341" s="2">
        <f>Table1[[#This Row],[Profit]]/Table1[[#This Row],[Sales]]</f>
        <v>5.3718214232337684E-2</v>
      </c>
      <c r="S341" t="str">
        <f t="shared" si="5"/>
        <v>High (21-30%)</v>
      </c>
    </row>
    <row r="342" spans="1:19" x14ac:dyDescent="0.2">
      <c r="A342" t="s">
        <v>862</v>
      </c>
      <c r="B342" s="3" t="s">
        <v>863</v>
      </c>
      <c r="C342" t="s">
        <v>864</v>
      </c>
      <c r="D342" t="s">
        <v>137</v>
      </c>
      <c r="E342" t="s">
        <v>160</v>
      </c>
      <c r="F342" t="s">
        <v>19</v>
      </c>
      <c r="G342" t="s">
        <v>29</v>
      </c>
      <c r="H342" t="s">
        <v>199</v>
      </c>
      <c r="I342" s="4">
        <v>3373.92</v>
      </c>
      <c r="J342">
        <v>3</v>
      </c>
      <c r="K342" s="2">
        <v>0.3</v>
      </c>
      <c r="L342" s="4">
        <v>-292.88</v>
      </c>
      <c r="M342" t="s">
        <v>117</v>
      </c>
      <c r="N342" t="s">
        <v>76</v>
      </c>
      <c r="O342">
        <f>YEAR(Table1[[#This Row],[Order Date]])</f>
        <v>2024</v>
      </c>
      <c r="P342" t="str">
        <f>TEXT(Table1[[#This Row],[Order Date]],"mmmm")</f>
        <v>September</v>
      </c>
      <c r="Q342" t="str">
        <f>TEXT(Table1[[#This Row],[Order Date]],"mm")</f>
        <v>09</v>
      </c>
      <c r="R342" s="2">
        <f>Table1[[#This Row],[Profit]]/Table1[[#This Row],[Sales]]</f>
        <v>-8.6807037511262855E-2</v>
      </c>
      <c r="S342" t="str">
        <f t="shared" si="5"/>
        <v>High (21-30%)</v>
      </c>
    </row>
    <row r="343" spans="1:19" x14ac:dyDescent="0.2">
      <c r="A343" t="s">
        <v>865</v>
      </c>
      <c r="B343" s="3" t="s">
        <v>866</v>
      </c>
      <c r="C343" t="s">
        <v>120</v>
      </c>
      <c r="D343" t="s">
        <v>137</v>
      </c>
      <c r="E343" t="s">
        <v>160</v>
      </c>
      <c r="F343" t="s">
        <v>67</v>
      </c>
      <c r="G343" t="s">
        <v>68</v>
      </c>
      <c r="H343" t="s">
        <v>69</v>
      </c>
      <c r="I343" s="4">
        <v>864.71</v>
      </c>
      <c r="J343">
        <v>7</v>
      </c>
      <c r="K343" s="2">
        <v>0.05</v>
      </c>
      <c r="L343" s="4">
        <v>171.25</v>
      </c>
      <c r="M343" t="s">
        <v>107</v>
      </c>
      <c r="N343" t="s">
        <v>32</v>
      </c>
      <c r="O343">
        <f>YEAR(Table1[[#This Row],[Order Date]])</f>
        <v>2025</v>
      </c>
      <c r="P343" t="str">
        <f>TEXT(Table1[[#This Row],[Order Date]],"mmmm")</f>
        <v>September</v>
      </c>
      <c r="Q343" t="str">
        <f>TEXT(Table1[[#This Row],[Order Date]],"mm")</f>
        <v>09</v>
      </c>
      <c r="R343" s="2">
        <f>Table1[[#This Row],[Profit]]/Table1[[#This Row],[Sales]]</f>
        <v>0.19804327462386231</v>
      </c>
      <c r="S343" t="str">
        <f t="shared" si="5"/>
        <v>Low (1-10%)</v>
      </c>
    </row>
    <row r="344" spans="1:19" x14ac:dyDescent="0.2">
      <c r="A344" t="s">
        <v>867</v>
      </c>
      <c r="B344" s="3" t="s">
        <v>413</v>
      </c>
      <c r="C344" t="s">
        <v>175</v>
      </c>
      <c r="D344" t="s">
        <v>48</v>
      </c>
      <c r="E344" t="s">
        <v>84</v>
      </c>
      <c r="F344" t="s">
        <v>55</v>
      </c>
      <c r="G344" t="s">
        <v>56</v>
      </c>
      <c r="H344" t="s">
        <v>129</v>
      </c>
      <c r="I344" s="4">
        <v>9461.0400000000009</v>
      </c>
      <c r="J344">
        <v>8</v>
      </c>
      <c r="K344" s="2">
        <v>0.05</v>
      </c>
      <c r="L344" s="4">
        <v>3596.88</v>
      </c>
      <c r="M344" t="s">
        <v>117</v>
      </c>
      <c r="N344" t="s">
        <v>23</v>
      </c>
      <c r="O344">
        <f>YEAR(Table1[[#This Row],[Order Date]])</f>
        <v>2025</v>
      </c>
      <c r="P344" t="str">
        <f>TEXT(Table1[[#This Row],[Order Date]],"mmmm")</f>
        <v>January</v>
      </c>
      <c r="Q344" t="str">
        <f>TEXT(Table1[[#This Row],[Order Date]],"mm")</f>
        <v>01</v>
      </c>
      <c r="R344" s="2">
        <f>Table1[[#This Row],[Profit]]/Table1[[#This Row],[Sales]]</f>
        <v>0.38017807767433598</v>
      </c>
      <c r="S344" t="str">
        <f t="shared" si="5"/>
        <v>Low (1-10%)</v>
      </c>
    </row>
    <row r="345" spans="1:19" x14ac:dyDescent="0.2">
      <c r="A345" t="s">
        <v>868</v>
      </c>
      <c r="B345" s="3" t="s">
        <v>869</v>
      </c>
      <c r="C345" t="s">
        <v>367</v>
      </c>
      <c r="D345" t="s">
        <v>27</v>
      </c>
      <c r="E345" t="s">
        <v>28</v>
      </c>
      <c r="F345" t="s">
        <v>19</v>
      </c>
      <c r="G345" t="s">
        <v>20</v>
      </c>
      <c r="H345" t="s">
        <v>21</v>
      </c>
      <c r="I345" s="4">
        <v>706.32</v>
      </c>
      <c r="J345">
        <v>6</v>
      </c>
      <c r="K345" s="2">
        <v>0.15</v>
      </c>
      <c r="L345" s="4">
        <v>175.47</v>
      </c>
      <c r="M345" t="s">
        <v>87</v>
      </c>
      <c r="N345" t="s">
        <v>23</v>
      </c>
      <c r="O345">
        <f>YEAR(Table1[[#This Row],[Order Date]])</f>
        <v>2024</v>
      </c>
      <c r="P345" t="str">
        <f>TEXT(Table1[[#This Row],[Order Date]],"mmmm")</f>
        <v>August</v>
      </c>
      <c r="Q345" t="str">
        <f>TEXT(Table1[[#This Row],[Order Date]],"mm")</f>
        <v>08</v>
      </c>
      <c r="R345" s="2">
        <f>Table1[[#This Row],[Profit]]/Table1[[#This Row],[Sales]]</f>
        <v>0.24842847434590551</v>
      </c>
      <c r="S345" t="str">
        <f t="shared" si="5"/>
        <v>Medium (11-20%)</v>
      </c>
    </row>
    <row r="346" spans="1:19" x14ac:dyDescent="0.2">
      <c r="A346" t="s">
        <v>870</v>
      </c>
      <c r="B346" s="3" t="s">
        <v>632</v>
      </c>
      <c r="C346" t="s">
        <v>871</v>
      </c>
      <c r="D346" t="s">
        <v>48</v>
      </c>
      <c r="E346" t="s">
        <v>73</v>
      </c>
      <c r="F346" t="s">
        <v>67</v>
      </c>
      <c r="G346" t="s">
        <v>68</v>
      </c>
      <c r="H346" t="s">
        <v>69</v>
      </c>
      <c r="I346" s="4">
        <v>617.46</v>
      </c>
      <c r="J346">
        <v>3</v>
      </c>
      <c r="K346" s="2">
        <v>0.05</v>
      </c>
      <c r="L346" s="4">
        <v>118.29</v>
      </c>
      <c r="M346" t="s">
        <v>44</v>
      </c>
      <c r="N346" t="s">
        <v>23</v>
      </c>
      <c r="O346">
        <f>YEAR(Table1[[#This Row],[Order Date]])</f>
        <v>2025</v>
      </c>
      <c r="P346" t="str">
        <f>TEXT(Table1[[#This Row],[Order Date]],"mmmm")</f>
        <v>April</v>
      </c>
      <c r="Q346" t="str">
        <f>TEXT(Table1[[#This Row],[Order Date]],"mm")</f>
        <v>04</v>
      </c>
      <c r="R346" s="2">
        <f>Table1[[#This Row],[Profit]]/Table1[[#This Row],[Sales]]</f>
        <v>0.19157516276357983</v>
      </c>
      <c r="S346" t="str">
        <f t="shared" si="5"/>
        <v>Low (1-10%)</v>
      </c>
    </row>
    <row r="347" spans="1:19" x14ac:dyDescent="0.2">
      <c r="A347" t="s">
        <v>872</v>
      </c>
      <c r="B347" s="3" t="s">
        <v>873</v>
      </c>
      <c r="C347" t="s">
        <v>618</v>
      </c>
      <c r="D347" t="s">
        <v>48</v>
      </c>
      <c r="E347" t="s">
        <v>84</v>
      </c>
      <c r="F347" t="s">
        <v>67</v>
      </c>
      <c r="G347" t="s">
        <v>68</v>
      </c>
      <c r="H347" t="s">
        <v>382</v>
      </c>
      <c r="I347" s="4">
        <v>5789.45</v>
      </c>
      <c r="J347">
        <v>5</v>
      </c>
      <c r="K347" s="2">
        <v>0.2</v>
      </c>
      <c r="L347" s="4">
        <v>-442.27</v>
      </c>
      <c r="M347" t="s">
        <v>44</v>
      </c>
      <c r="N347" t="s">
        <v>39</v>
      </c>
      <c r="O347">
        <f>YEAR(Table1[[#This Row],[Order Date]])</f>
        <v>2025</v>
      </c>
      <c r="P347" t="str">
        <f>TEXT(Table1[[#This Row],[Order Date]],"mmmm")</f>
        <v>August</v>
      </c>
      <c r="Q347" t="str">
        <f>TEXT(Table1[[#This Row],[Order Date]],"mm")</f>
        <v>08</v>
      </c>
      <c r="R347" s="2">
        <f>Table1[[#This Row],[Profit]]/Table1[[#This Row],[Sales]]</f>
        <v>-7.639240342346855E-2</v>
      </c>
      <c r="S347" t="str">
        <f t="shared" si="5"/>
        <v>Medium (11-20%)</v>
      </c>
    </row>
    <row r="348" spans="1:19" x14ac:dyDescent="0.2">
      <c r="A348" t="s">
        <v>874</v>
      </c>
      <c r="B348" s="3" t="s">
        <v>875</v>
      </c>
      <c r="C348" t="s">
        <v>851</v>
      </c>
      <c r="D348" t="s">
        <v>137</v>
      </c>
      <c r="E348" t="s">
        <v>242</v>
      </c>
      <c r="F348" t="s">
        <v>19</v>
      </c>
      <c r="G348" t="s">
        <v>20</v>
      </c>
      <c r="H348" t="s">
        <v>21</v>
      </c>
      <c r="I348" s="4">
        <v>71.16</v>
      </c>
      <c r="J348">
        <v>1</v>
      </c>
      <c r="K348" s="2">
        <v>0.2</v>
      </c>
      <c r="L348" s="4">
        <v>-9.0500000000000007</v>
      </c>
      <c r="M348" t="s">
        <v>63</v>
      </c>
      <c r="N348" t="s">
        <v>32</v>
      </c>
      <c r="O348">
        <f>YEAR(Table1[[#This Row],[Order Date]])</f>
        <v>2025</v>
      </c>
      <c r="P348" t="str">
        <f>TEXT(Table1[[#This Row],[Order Date]],"mmmm")</f>
        <v>December</v>
      </c>
      <c r="Q348" t="str">
        <f>TEXT(Table1[[#This Row],[Order Date]],"mm")</f>
        <v>12</v>
      </c>
      <c r="R348" s="2">
        <f>Table1[[#This Row],[Profit]]/Table1[[#This Row],[Sales]]</f>
        <v>-0.12717818999437888</v>
      </c>
      <c r="S348" t="str">
        <f t="shared" si="5"/>
        <v>Medium (11-20%)</v>
      </c>
    </row>
    <row r="349" spans="1:19" x14ac:dyDescent="0.2">
      <c r="A349" t="s">
        <v>876</v>
      </c>
      <c r="B349" s="3" t="s">
        <v>877</v>
      </c>
      <c r="C349" t="s">
        <v>661</v>
      </c>
      <c r="D349" t="s">
        <v>137</v>
      </c>
      <c r="E349" t="s">
        <v>138</v>
      </c>
      <c r="F349" t="s">
        <v>19</v>
      </c>
      <c r="G349" t="s">
        <v>20</v>
      </c>
      <c r="H349" t="s">
        <v>239</v>
      </c>
      <c r="I349" s="4">
        <v>1045.19</v>
      </c>
      <c r="J349">
        <v>1</v>
      </c>
      <c r="K349" s="2">
        <v>0</v>
      </c>
      <c r="L349" s="4">
        <v>261.37</v>
      </c>
      <c r="M349" t="s">
        <v>44</v>
      </c>
      <c r="N349" t="s">
        <v>76</v>
      </c>
      <c r="O349">
        <f>YEAR(Table1[[#This Row],[Order Date]])</f>
        <v>2025</v>
      </c>
      <c r="P349" t="str">
        <f>TEXT(Table1[[#This Row],[Order Date]],"mmmm")</f>
        <v>December</v>
      </c>
      <c r="Q349" t="str">
        <f>TEXT(Table1[[#This Row],[Order Date]],"mm")</f>
        <v>12</v>
      </c>
      <c r="R349" s="2">
        <f>Table1[[#This Row],[Profit]]/Table1[[#This Row],[Sales]]</f>
        <v>0.25006936537854363</v>
      </c>
      <c r="S349" t="str">
        <f t="shared" si="5"/>
        <v>No Discount</v>
      </c>
    </row>
    <row r="350" spans="1:19" x14ac:dyDescent="0.2">
      <c r="A350" t="s">
        <v>878</v>
      </c>
      <c r="B350" s="3" t="s">
        <v>879</v>
      </c>
      <c r="C350" t="s">
        <v>163</v>
      </c>
      <c r="D350" t="s">
        <v>17</v>
      </c>
      <c r="E350" t="s">
        <v>97</v>
      </c>
      <c r="F350" t="s">
        <v>55</v>
      </c>
      <c r="G350" t="s">
        <v>74</v>
      </c>
      <c r="H350" t="s">
        <v>133</v>
      </c>
      <c r="I350" s="4">
        <v>206.46</v>
      </c>
      <c r="J350">
        <v>6</v>
      </c>
      <c r="K350" s="2">
        <v>0</v>
      </c>
      <c r="L350" s="4">
        <v>89.12</v>
      </c>
      <c r="M350" t="s">
        <v>44</v>
      </c>
      <c r="N350" t="s">
        <v>76</v>
      </c>
      <c r="O350">
        <f>YEAR(Table1[[#This Row],[Order Date]])</f>
        <v>2024</v>
      </c>
      <c r="P350" t="str">
        <f>TEXT(Table1[[#This Row],[Order Date]],"mmmm")</f>
        <v>June</v>
      </c>
      <c r="Q350" t="str">
        <f>TEXT(Table1[[#This Row],[Order Date]],"mm")</f>
        <v>06</v>
      </c>
      <c r="R350" s="2">
        <f>Table1[[#This Row],[Profit]]/Table1[[#This Row],[Sales]]</f>
        <v>0.43165746391552845</v>
      </c>
      <c r="S350" t="str">
        <f t="shared" si="5"/>
        <v>No Discount</v>
      </c>
    </row>
    <row r="351" spans="1:19" x14ac:dyDescent="0.2">
      <c r="A351" t="s">
        <v>880</v>
      </c>
      <c r="B351" s="3" t="s">
        <v>877</v>
      </c>
      <c r="C351" t="s">
        <v>851</v>
      </c>
      <c r="D351" t="s">
        <v>48</v>
      </c>
      <c r="E351" t="s">
        <v>73</v>
      </c>
      <c r="F351" t="s">
        <v>19</v>
      </c>
      <c r="G351" t="s">
        <v>36</v>
      </c>
      <c r="H351" t="s">
        <v>222</v>
      </c>
      <c r="I351" s="4">
        <v>262.68</v>
      </c>
      <c r="J351">
        <v>4</v>
      </c>
      <c r="K351" s="2">
        <v>0.1</v>
      </c>
      <c r="L351" s="4">
        <v>83.55</v>
      </c>
      <c r="M351" t="s">
        <v>38</v>
      </c>
      <c r="N351" t="s">
        <v>23</v>
      </c>
      <c r="O351">
        <f>YEAR(Table1[[#This Row],[Order Date]])</f>
        <v>2025</v>
      </c>
      <c r="P351" t="str">
        <f>TEXT(Table1[[#This Row],[Order Date]],"mmmm")</f>
        <v>December</v>
      </c>
      <c r="Q351" t="str">
        <f>TEXT(Table1[[#This Row],[Order Date]],"mm")</f>
        <v>12</v>
      </c>
      <c r="R351" s="2">
        <f>Table1[[#This Row],[Profit]]/Table1[[#This Row],[Sales]]</f>
        <v>0.31806761078117862</v>
      </c>
      <c r="S351" t="str">
        <f t="shared" si="5"/>
        <v>Low (1-10%)</v>
      </c>
    </row>
    <row r="352" spans="1:19" x14ac:dyDescent="0.2">
      <c r="A352" t="s">
        <v>881</v>
      </c>
      <c r="B352" s="3" t="s">
        <v>882</v>
      </c>
      <c r="C352" t="s">
        <v>588</v>
      </c>
      <c r="D352" t="s">
        <v>137</v>
      </c>
      <c r="E352" t="s">
        <v>242</v>
      </c>
      <c r="F352" t="s">
        <v>67</v>
      </c>
      <c r="G352" t="s">
        <v>68</v>
      </c>
      <c r="H352" t="s">
        <v>103</v>
      </c>
      <c r="I352" s="4">
        <v>4052.93</v>
      </c>
      <c r="J352">
        <v>7</v>
      </c>
      <c r="K352" s="2">
        <v>0.3</v>
      </c>
      <c r="L352" s="4">
        <v>253.33</v>
      </c>
      <c r="M352" t="s">
        <v>87</v>
      </c>
      <c r="N352" t="s">
        <v>23</v>
      </c>
      <c r="O352">
        <f>YEAR(Table1[[#This Row],[Order Date]])</f>
        <v>2025</v>
      </c>
      <c r="P352" t="str">
        <f>TEXT(Table1[[#This Row],[Order Date]],"mmmm")</f>
        <v>October</v>
      </c>
      <c r="Q352" t="str">
        <f>TEXT(Table1[[#This Row],[Order Date]],"mm")</f>
        <v>10</v>
      </c>
      <c r="R352" s="2">
        <f>Table1[[#This Row],[Profit]]/Table1[[#This Row],[Sales]]</f>
        <v>6.2505397329832985E-2</v>
      </c>
      <c r="S352" t="str">
        <f t="shared" si="5"/>
        <v>High (21-30%)</v>
      </c>
    </row>
    <row r="353" spans="1:19" x14ac:dyDescent="0.2">
      <c r="A353" t="s">
        <v>883</v>
      </c>
      <c r="B353" s="3" t="s">
        <v>884</v>
      </c>
      <c r="C353" t="s">
        <v>141</v>
      </c>
      <c r="D353" t="s">
        <v>27</v>
      </c>
      <c r="E353" t="s">
        <v>43</v>
      </c>
      <c r="F353" t="s">
        <v>67</v>
      </c>
      <c r="G353" t="s">
        <v>115</v>
      </c>
      <c r="H353" t="s">
        <v>116</v>
      </c>
      <c r="I353" s="4">
        <v>3228.66</v>
      </c>
      <c r="J353">
        <v>9</v>
      </c>
      <c r="K353" s="2">
        <v>0.1</v>
      </c>
      <c r="L353" s="4">
        <v>467.87</v>
      </c>
      <c r="M353" t="s">
        <v>107</v>
      </c>
      <c r="N353" t="s">
        <v>32</v>
      </c>
      <c r="O353">
        <f>YEAR(Table1[[#This Row],[Order Date]])</f>
        <v>2024</v>
      </c>
      <c r="P353" t="str">
        <f>TEXT(Table1[[#This Row],[Order Date]],"mmmm")</f>
        <v>January</v>
      </c>
      <c r="Q353" t="str">
        <f>TEXT(Table1[[#This Row],[Order Date]],"mm")</f>
        <v>01</v>
      </c>
      <c r="R353" s="2">
        <f>Table1[[#This Row],[Profit]]/Table1[[#This Row],[Sales]]</f>
        <v>0.14491151127712426</v>
      </c>
      <c r="S353" t="str">
        <f t="shared" si="5"/>
        <v>Low (1-10%)</v>
      </c>
    </row>
    <row r="354" spans="1:19" x14ac:dyDescent="0.2">
      <c r="A354" t="s">
        <v>885</v>
      </c>
      <c r="B354" s="3" t="s">
        <v>562</v>
      </c>
      <c r="C354" t="s">
        <v>745</v>
      </c>
      <c r="D354" t="s">
        <v>27</v>
      </c>
      <c r="E354" t="s">
        <v>61</v>
      </c>
      <c r="F354" t="s">
        <v>67</v>
      </c>
      <c r="G354" t="s">
        <v>85</v>
      </c>
      <c r="H354" t="s">
        <v>125</v>
      </c>
      <c r="I354" s="4">
        <v>4011.66</v>
      </c>
      <c r="J354">
        <v>6</v>
      </c>
      <c r="K354" s="2">
        <v>0.25</v>
      </c>
      <c r="L354" s="4">
        <v>-745.53</v>
      </c>
      <c r="M354" t="s">
        <v>63</v>
      </c>
      <c r="N354" t="s">
        <v>32</v>
      </c>
      <c r="O354">
        <f>YEAR(Table1[[#This Row],[Order Date]])</f>
        <v>2024</v>
      </c>
      <c r="P354" t="str">
        <f>TEXT(Table1[[#This Row],[Order Date]],"mmmm")</f>
        <v>February</v>
      </c>
      <c r="Q354" t="str">
        <f>TEXT(Table1[[#This Row],[Order Date]],"mm")</f>
        <v>02</v>
      </c>
      <c r="R354" s="2">
        <f>Table1[[#This Row],[Profit]]/Table1[[#This Row],[Sales]]</f>
        <v>-0.18584077414337208</v>
      </c>
      <c r="S354" t="str">
        <f t="shared" si="5"/>
        <v>High (21-30%)</v>
      </c>
    </row>
    <row r="355" spans="1:19" x14ac:dyDescent="0.2">
      <c r="A355" t="s">
        <v>886</v>
      </c>
      <c r="B355" s="3" t="s">
        <v>887</v>
      </c>
      <c r="C355" t="s">
        <v>666</v>
      </c>
      <c r="D355" t="s">
        <v>48</v>
      </c>
      <c r="E355" t="s">
        <v>73</v>
      </c>
      <c r="F355" t="s">
        <v>55</v>
      </c>
      <c r="G355" t="s">
        <v>56</v>
      </c>
      <c r="H355" t="s">
        <v>129</v>
      </c>
      <c r="I355" s="4">
        <v>420.4</v>
      </c>
      <c r="J355">
        <v>4</v>
      </c>
      <c r="K355" s="2">
        <v>0.1</v>
      </c>
      <c r="L355" s="4">
        <v>79.849999999999994</v>
      </c>
      <c r="M355" t="s">
        <v>117</v>
      </c>
      <c r="N355" t="s">
        <v>23</v>
      </c>
      <c r="O355">
        <f>YEAR(Table1[[#This Row],[Order Date]])</f>
        <v>2024</v>
      </c>
      <c r="P355" t="str">
        <f>TEXT(Table1[[#This Row],[Order Date]],"mmmm")</f>
        <v>October</v>
      </c>
      <c r="Q355" t="str">
        <f>TEXT(Table1[[#This Row],[Order Date]],"mm")</f>
        <v>10</v>
      </c>
      <c r="R355" s="2">
        <f>Table1[[#This Row],[Profit]]/Table1[[#This Row],[Sales]]</f>
        <v>0.18993815413891532</v>
      </c>
      <c r="S355" t="str">
        <f t="shared" si="5"/>
        <v>Low (1-10%)</v>
      </c>
    </row>
    <row r="356" spans="1:19" x14ac:dyDescent="0.2">
      <c r="A356" t="s">
        <v>888</v>
      </c>
      <c r="B356" s="3" t="s">
        <v>148</v>
      </c>
      <c r="C356" t="s">
        <v>316</v>
      </c>
      <c r="D356" t="s">
        <v>27</v>
      </c>
      <c r="E356" t="s">
        <v>124</v>
      </c>
      <c r="F356" t="s">
        <v>55</v>
      </c>
      <c r="G356" t="s">
        <v>98</v>
      </c>
      <c r="H356" t="s">
        <v>99</v>
      </c>
      <c r="I356" s="4">
        <v>3379.98</v>
      </c>
      <c r="J356">
        <v>3</v>
      </c>
      <c r="K356" s="2">
        <v>0.2</v>
      </c>
      <c r="L356" s="4">
        <v>-132.01</v>
      </c>
      <c r="M356" t="s">
        <v>63</v>
      </c>
      <c r="N356" t="s">
        <v>23</v>
      </c>
      <c r="O356">
        <f>YEAR(Table1[[#This Row],[Order Date]])</f>
        <v>2025</v>
      </c>
      <c r="P356" t="str">
        <f>TEXT(Table1[[#This Row],[Order Date]],"mmmm")</f>
        <v>September</v>
      </c>
      <c r="Q356" t="str">
        <f>TEXT(Table1[[#This Row],[Order Date]],"mm")</f>
        <v>09</v>
      </c>
      <c r="R356" s="2">
        <f>Table1[[#This Row],[Profit]]/Table1[[#This Row],[Sales]]</f>
        <v>-3.9056444120971125E-2</v>
      </c>
      <c r="S356" t="str">
        <f t="shared" si="5"/>
        <v>Medium (11-20%)</v>
      </c>
    </row>
    <row r="357" spans="1:19" x14ac:dyDescent="0.2">
      <c r="A357" t="s">
        <v>889</v>
      </c>
      <c r="B357" s="3" t="s">
        <v>518</v>
      </c>
      <c r="C357" t="s">
        <v>625</v>
      </c>
      <c r="D357" t="s">
        <v>137</v>
      </c>
      <c r="E357" t="s">
        <v>138</v>
      </c>
      <c r="F357" t="s">
        <v>55</v>
      </c>
      <c r="G357" t="s">
        <v>74</v>
      </c>
      <c r="H357" t="s">
        <v>272</v>
      </c>
      <c r="I357" s="4">
        <v>9321.2000000000007</v>
      </c>
      <c r="J357">
        <v>10</v>
      </c>
      <c r="K357" s="2">
        <v>0.3</v>
      </c>
      <c r="L357" s="4">
        <v>-2233.0700000000002</v>
      </c>
      <c r="M357" t="s">
        <v>195</v>
      </c>
      <c r="N357" t="s">
        <v>23</v>
      </c>
      <c r="O357">
        <f>YEAR(Table1[[#This Row],[Order Date]])</f>
        <v>2025</v>
      </c>
      <c r="P357" t="str">
        <f>TEXT(Table1[[#This Row],[Order Date]],"mmmm")</f>
        <v>January</v>
      </c>
      <c r="Q357" t="str">
        <f>TEXT(Table1[[#This Row],[Order Date]],"mm")</f>
        <v>01</v>
      </c>
      <c r="R357" s="2">
        <f>Table1[[#This Row],[Profit]]/Table1[[#This Row],[Sales]]</f>
        <v>-0.23956893962150796</v>
      </c>
      <c r="S357" t="str">
        <f t="shared" si="5"/>
        <v>High (21-30%)</v>
      </c>
    </row>
    <row r="358" spans="1:19" x14ac:dyDescent="0.2">
      <c r="A358" t="s">
        <v>890</v>
      </c>
      <c r="B358" s="3" t="s">
        <v>488</v>
      </c>
      <c r="C358" t="s">
        <v>172</v>
      </c>
      <c r="D358" t="s">
        <v>27</v>
      </c>
      <c r="E358" t="s">
        <v>43</v>
      </c>
      <c r="F358" t="s">
        <v>19</v>
      </c>
      <c r="G358" t="s">
        <v>20</v>
      </c>
      <c r="H358" t="s">
        <v>347</v>
      </c>
      <c r="I358" s="4">
        <v>1562.48</v>
      </c>
      <c r="J358">
        <v>8</v>
      </c>
      <c r="K358" s="2">
        <v>0</v>
      </c>
      <c r="L358" s="4">
        <v>549.61</v>
      </c>
      <c r="M358" t="s">
        <v>22</v>
      </c>
      <c r="N358" t="s">
        <v>32</v>
      </c>
      <c r="O358">
        <f>YEAR(Table1[[#This Row],[Order Date]])</f>
        <v>2025</v>
      </c>
      <c r="P358" t="str">
        <f>TEXT(Table1[[#This Row],[Order Date]],"mmmm")</f>
        <v>June</v>
      </c>
      <c r="Q358" t="str">
        <f>TEXT(Table1[[#This Row],[Order Date]],"mm")</f>
        <v>06</v>
      </c>
      <c r="R358" s="2">
        <f>Table1[[#This Row],[Profit]]/Table1[[#This Row],[Sales]]</f>
        <v>0.35175490246275154</v>
      </c>
      <c r="S358" t="str">
        <f t="shared" si="5"/>
        <v>No Discount</v>
      </c>
    </row>
    <row r="359" spans="1:19" x14ac:dyDescent="0.2">
      <c r="A359" t="s">
        <v>891</v>
      </c>
      <c r="B359" s="3" t="s">
        <v>892</v>
      </c>
      <c r="C359" t="s">
        <v>797</v>
      </c>
      <c r="D359" t="s">
        <v>48</v>
      </c>
      <c r="E359" t="s">
        <v>49</v>
      </c>
      <c r="F359" t="s">
        <v>55</v>
      </c>
      <c r="G359" t="s">
        <v>56</v>
      </c>
      <c r="H359" t="s">
        <v>57</v>
      </c>
      <c r="I359" s="4">
        <v>11197.8</v>
      </c>
      <c r="J359">
        <v>10</v>
      </c>
      <c r="K359" s="2">
        <v>0.3</v>
      </c>
      <c r="L359" s="4">
        <v>-106.38</v>
      </c>
      <c r="M359" t="s">
        <v>22</v>
      </c>
      <c r="N359" t="s">
        <v>76</v>
      </c>
      <c r="O359">
        <f>YEAR(Table1[[#This Row],[Order Date]])</f>
        <v>2025</v>
      </c>
      <c r="P359" t="str">
        <f>TEXT(Table1[[#This Row],[Order Date]],"mmmm")</f>
        <v>February</v>
      </c>
      <c r="Q359" t="str">
        <f>TEXT(Table1[[#This Row],[Order Date]],"mm")</f>
        <v>02</v>
      </c>
      <c r="R359" s="2">
        <f>Table1[[#This Row],[Profit]]/Table1[[#This Row],[Sales]]</f>
        <v>-9.5000803729303977E-3</v>
      </c>
      <c r="S359" t="str">
        <f t="shared" si="5"/>
        <v>High (21-30%)</v>
      </c>
    </row>
    <row r="360" spans="1:19" x14ac:dyDescent="0.2">
      <c r="A360" t="s">
        <v>893</v>
      </c>
      <c r="B360" s="3" t="s">
        <v>894</v>
      </c>
      <c r="C360" t="s">
        <v>128</v>
      </c>
      <c r="D360" t="s">
        <v>48</v>
      </c>
      <c r="E360" t="s">
        <v>84</v>
      </c>
      <c r="F360" t="s">
        <v>19</v>
      </c>
      <c r="G360" t="s">
        <v>36</v>
      </c>
      <c r="H360" t="s">
        <v>111</v>
      </c>
      <c r="I360" s="4">
        <v>190.44</v>
      </c>
      <c r="J360">
        <v>6</v>
      </c>
      <c r="K360" s="2">
        <v>0</v>
      </c>
      <c r="L360" s="4">
        <v>43.34</v>
      </c>
      <c r="M360" t="s">
        <v>63</v>
      </c>
      <c r="N360" t="s">
        <v>32</v>
      </c>
      <c r="O360">
        <f>YEAR(Table1[[#This Row],[Order Date]])</f>
        <v>2024</v>
      </c>
      <c r="P360" t="str">
        <f>TEXT(Table1[[#This Row],[Order Date]],"mmmm")</f>
        <v>March</v>
      </c>
      <c r="Q360" t="str">
        <f>TEXT(Table1[[#This Row],[Order Date]],"mm")</f>
        <v>03</v>
      </c>
      <c r="R360" s="2">
        <f>Table1[[#This Row],[Profit]]/Table1[[#This Row],[Sales]]</f>
        <v>0.22757823986557449</v>
      </c>
      <c r="S360" t="str">
        <f t="shared" si="5"/>
        <v>No Discount</v>
      </c>
    </row>
    <row r="361" spans="1:19" x14ac:dyDescent="0.2">
      <c r="A361" t="s">
        <v>895</v>
      </c>
      <c r="B361" s="3" t="s">
        <v>765</v>
      </c>
      <c r="C361" t="s">
        <v>186</v>
      </c>
      <c r="D361" t="s">
        <v>17</v>
      </c>
      <c r="E361" t="s">
        <v>54</v>
      </c>
      <c r="F361" t="s">
        <v>19</v>
      </c>
      <c r="G361" t="s">
        <v>36</v>
      </c>
      <c r="H361" t="s">
        <v>111</v>
      </c>
      <c r="I361" s="4">
        <v>6080.85</v>
      </c>
      <c r="J361">
        <v>9</v>
      </c>
      <c r="K361" s="2">
        <v>0.1</v>
      </c>
      <c r="L361" s="4">
        <v>80.41</v>
      </c>
      <c r="M361" t="s">
        <v>31</v>
      </c>
      <c r="N361" t="s">
        <v>23</v>
      </c>
      <c r="O361">
        <f>YEAR(Table1[[#This Row],[Order Date]])</f>
        <v>2024</v>
      </c>
      <c r="P361" t="str">
        <f>TEXT(Table1[[#This Row],[Order Date]],"mmmm")</f>
        <v>April</v>
      </c>
      <c r="Q361" t="str">
        <f>TEXT(Table1[[#This Row],[Order Date]],"mm")</f>
        <v>04</v>
      </c>
      <c r="R361" s="2">
        <f>Table1[[#This Row],[Profit]]/Table1[[#This Row],[Sales]]</f>
        <v>1.3223480270028037E-2</v>
      </c>
      <c r="S361" t="str">
        <f t="shared" si="5"/>
        <v>Low (1-10%)</v>
      </c>
    </row>
    <row r="362" spans="1:19" x14ac:dyDescent="0.2">
      <c r="A362" t="s">
        <v>896</v>
      </c>
      <c r="B362" s="3" t="s">
        <v>897</v>
      </c>
      <c r="C362" t="s">
        <v>556</v>
      </c>
      <c r="D362" t="s">
        <v>48</v>
      </c>
      <c r="E362" t="s">
        <v>49</v>
      </c>
      <c r="F362" t="s">
        <v>19</v>
      </c>
      <c r="G362" t="s">
        <v>36</v>
      </c>
      <c r="H362" t="s">
        <v>222</v>
      </c>
      <c r="I362" s="4">
        <v>920.82</v>
      </c>
      <c r="J362">
        <v>3</v>
      </c>
      <c r="K362" s="2">
        <v>0.15</v>
      </c>
      <c r="L362" s="4">
        <v>-60.36</v>
      </c>
      <c r="M362" t="s">
        <v>107</v>
      </c>
      <c r="N362" t="s">
        <v>76</v>
      </c>
      <c r="O362">
        <f>YEAR(Table1[[#This Row],[Order Date]])</f>
        <v>2024</v>
      </c>
      <c r="P362" t="str">
        <f>TEXT(Table1[[#This Row],[Order Date]],"mmmm")</f>
        <v>March</v>
      </c>
      <c r="Q362" t="str">
        <f>TEXT(Table1[[#This Row],[Order Date]],"mm")</f>
        <v>03</v>
      </c>
      <c r="R362" s="2">
        <f>Table1[[#This Row],[Profit]]/Table1[[#This Row],[Sales]]</f>
        <v>-6.555027041115527E-2</v>
      </c>
      <c r="S362" t="str">
        <f t="shared" si="5"/>
        <v>Medium (11-20%)</v>
      </c>
    </row>
    <row r="363" spans="1:19" x14ac:dyDescent="0.2">
      <c r="A363" t="s">
        <v>898</v>
      </c>
      <c r="B363" s="3" t="s">
        <v>545</v>
      </c>
      <c r="C363" t="s">
        <v>678</v>
      </c>
      <c r="D363" t="s">
        <v>27</v>
      </c>
      <c r="E363" t="s">
        <v>124</v>
      </c>
      <c r="F363" t="s">
        <v>67</v>
      </c>
      <c r="G363" t="s">
        <v>115</v>
      </c>
      <c r="H363" t="s">
        <v>178</v>
      </c>
      <c r="I363" s="4">
        <v>4115.1000000000004</v>
      </c>
      <c r="J363">
        <v>5</v>
      </c>
      <c r="K363" s="2">
        <v>0.3</v>
      </c>
      <c r="L363" s="4">
        <v>-766.16</v>
      </c>
      <c r="M363" t="s">
        <v>63</v>
      </c>
      <c r="N363" t="s">
        <v>39</v>
      </c>
      <c r="O363">
        <f>YEAR(Table1[[#This Row],[Order Date]])</f>
        <v>2025</v>
      </c>
      <c r="P363" t="str">
        <f>TEXT(Table1[[#This Row],[Order Date]],"mmmm")</f>
        <v>April</v>
      </c>
      <c r="Q363" t="str">
        <f>TEXT(Table1[[#This Row],[Order Date]],"mm")</f>
        <v>04</v>
      </c>
      <c r="R363" s="2">
        <f>Table1[[#This Row],[Profit]]/Table1[[#This Row],[Sales]]</f>
        <v>-0.18618259580569121</v>
      </c>
      <c r="S363" t="str">
        <f t="shared" si="5"/>
        <v>High (21-30%)</v>
      </c>
    </row>
    <row r="364" spans="1:19" x14ac:dyDescent="0.2">
      <c r="A364" t="s">
        <v>899</v>
      </c>
      <c r="B364" s="3" t="s">
        <v>900</v>
      </c>
      <c r="C364" t="s">
        <v>625</v>
      </c>
      <c r="D364" t="s">
        <v>48</v>
      </c>
      <c r="E364" t="s">
        <v>110</v>
      </c>
      <c r="F364" t="s">
        <v>67</v>
      </c>
      <c r="G364" t="s">
        <v>85</v>
      </c>
      <c r="H364" t="s">
        <v>125</v>
      </c>
      <c r="I364" s="4">
        <v>77.81</v>
      </c>
      <c r="J364">
        <v>1</v>
      </c>
      <c r="K364" s="2">
        <v>0</v>
      </c>
      <c r="L364" s="4">
        <v>32.72</v>
      </c>
      <c r="M364" t="s">
        <v>31</v>
      </c>
      <c r="N364" t="s">
        <v>39</v>
      </c>
      <c r="O364">
        <f>YEAR(Table1[[#This Row],[Order Date]])</f>
        <v>2024</v>
      </c>
      <c r="P364" t="str">
        <f>TEXT(Table1[[#This Row],[Order Date]],"mmmm")</f>
        <v>May</v>
      </c>
      <c r="Q364" t="str">
        <f>TEXT(Table1[[#This Row],[Order Date]],"mm")</f>
        <v>05</v>
      </c>
      <c r="R364" s="2">
        <f>Table1[[#This Row],[Profit]]/Table1[[#This Row],[Sales]]</f>
        <v>0.42051150237758639</v>
      </c>
      <c r="S364" t="str">
        <f t="shared" si="5"/>
        <v>No Discount</v>
      </c>
    </row>
    <row r="365" spans="1:19" x14ac:dyDescent="0.2">
      <c r="A365" t="s">
        <v>901</v>
      </c>
      <c r="B365" s="3" t="s">
        <v>902</v>
      </c>
      <c r="C365" t="s">
        <v>903</v>
      </c>
      <c r="D365" t="s">
        <v>27</v>
      </c>
      <c r="E365" t="s">
        <v>43</v>
      </c>
      <c r="F365" t="s">
        <v>19</v>
      </c>
      <c r="G365" t="s">
        <v>29</v>
      </c>
      <c r="H365" t="s">
        <v>30</v>
      </c>
      <c r="I365" s="4">
        <v>5690.16</v>
      </c>
      <c r="J365">
        <v>8</v>
      </c>
      <c r="K365" s="2">
        <v>0.05</v>
      </c>
      <c r="L365" s="4">
        <v>236.39</v>
      </c>
      <c r="M365" t="s">
        <v>195</v>
      </c>
      <c r="N365" t="s">
        <v>76</v>
      </c>
      <c r="O365">
        <f>YEAR(Table1[[#This Row],[Order Date]])</f>
        <v>2025</v>
      </c>
      <c r="P365" t="str">
        <f>TEXT(Table1[[#This Row],[Order Date]],"mmmm")</f>
        <v>June</v>
      </c>
      <c r="Q365" t="str">
        <f>TEXT(Table1[[#This Row],[Order Date]],"mm")</f>
        <v>06</v>
      </c>
      <c r="R365" s="2">
        <f>Table1[[#This Row],[Profit]]/Table1[[#This Row],[Sales]]</f>
        <v>4.1543647278811137E-2</v>
      </c>
      <c r="S365" t="str">
        <f t="shared" si="5"/>
        <v>Low (1-10%)</v>
      </c>
    </row>
    <row r="366" spans="1:19" x14ac:dyDescent="0.2">
      <c r="A366" t="s">
        <v>904</v>
      </c>
      <c r="B366" s="3" t="s">
        <v>905</v>
      </c>
      <c r="C366" t="s">
        <v>906</v>
      </c>
      <c r="D366" t="s">
        <v>17</v>
      </c>
      <c r="E366" t="s">
        <v>97</v>
      </c>
      <c r="F366" t="s">
        <v>19</v>
      </c>
      <c r="G366" t="s">
        <v>29</v>
      </c>
      <c r="H366" t="s">
        <v>50</v>
      </c>
      <c r="I366" s="4">
        <v>2428.11</v>
      </c>
      <c r="J366">
        <v>9</v>
      </c>
      <c r="K366" s="2">
        <v>0.1</v>
      </c>
      <c r="L366" s="4">
        <v>812.06</v>
      </c>
      <c r="M366" t="s">
        <v>87</v>
      </c>
      <c r="N366" t="s">
        <v>39</v>
      </c>
      <c r="O366">
        <f>YEAR(Table1[[#This Row],[Order Date]])</f>
        <v>2024</v>
      </c>
      <c r="P366" t="str">
        <f>TEXT(Table1[[#This Row],[Order Date]],"mmmm")</f>
        <v>August</v>
      </c>
      <c r="Q366" t="str">
        <f>TEXT(Table1[[#This Row],[Order Date]],"mm")</f>
        <v>08</v>
      </c>
      <c r="R366" s="2">
        <f>Table1[[#This Row],[Profit]]/Table1[[#This Row],[Sales]]</f>
        <v>0.33444119088509167</v>
      </c>
      <c r="S366" t="str">
        <f t="shared" si="5"/>
        <v>Low (1-10%)</v>
      </c>
    </row>
    <row r="367" spans="1:19" x14ac:dyDescent="0.2">
      <c r="A367" t="s">
        <v>907</v>
      </c>
      <c r="B367" s="3" t="s">
        <v>908</v>
      </c>
      <c r="C367" t="s">
        <v>548</v>
      </c>
      <c r="D367" t="s">
        <v>48</v>
      </c>
      <c r="E367" t="s">
        <v>73</v>
      </c>
      <c r="F367" t="s">
        <v>67</v>
      </c>
      <c r="G367" t="s">
        <v>85</v>
      </c>
      <c r="H367" t="s">
        <v>86</v>
      </c>
      <c r="I367" s="4">
        <v>4051.74</v>
      </c>
      <c r="J367">
        <v>7</v>
      </c>
      <c r="K367" s="2">
        <v>0.2</v>
      </c>
      <c r="L367" s="4">
        <v>888.98</v>
      </c>
      <c r="M367" t="s">
        <v>22</v>
      </c>
      <c r="N367" t="s">
        <v>76</v>
      </c>
      <c r="O367">
        <f>YEAR(Table1[[#This Row],[Order Date]])</f>
        <v>2025</v>
      </c>
      <c r="P367" t="str">
        <f>TEXT(Table1[[#This Row],[Order Date]],"mmmm")</f>
        <v>June</v>
      </c>
      <c r="Q367" t="str">
        <f>TEXT(Table1[[#This Row],[Order Date]],"mm")</f>
        <v>06</v>
      </c>
      <c r="R367" s="2">
        <f>Table1[[#This Row],[Profit]]/Table1[[#This Row],[Sales]]</f>
        <v>0.21940697083228441</v>
      </c>
      <c r="S367" t="str">
        <f t="shared" si="5"/>
        <v>Medium (11-20%)</v>
      </c>
    </row>
    <row r="368" spans="1:19" x14ac:dyDescent="0.2">
      <c r="A368" t="s">
        <v>909</v>
      </c>
      <c r="B368" s="3" t="s">
        <v>910</v>
      </c>
      <c r="C368" t="s">
        <v>911</v>
      </c>
      <c r="D368" t="s">
        <v>27</v>
      </c>
      <c r="E368" t="s">
        <v>43</v>
      </c>
      <c r="F368" t="s">
        <v>55</v>
      </c>
      <c r="G368" t="s">
        <v>74</v>
      </c>
      <c r="H368" t="s">
        <v>133</v>
      </c>
      <c r="I368" s="4">
        <v>1722.35</v>
      </c>
      <c r="J368">
        <v>5</v>
      </c>
      <c r="K368" s="2">
        <v>0.05</v>
      </c>
      <c r="L368" s="4">
        <v>585.01</v>
      </c>
      <c r="M368" t="s">
        <v>117</v>
      </c>
      <c r="N368" t="s">
        <v>32</v>
      </c>
      <c r="O368">
        <f>YEAR(Table1[[#This Row],[Order Date]])</f>
        <v>2024</v>
      </c>
      <c r="P368" t="str">
        <f>TEXT(Table1[[#This Row],[Order Date]],"mmmm")</f>
        <v>October</v>
      </c>
      <c r="Q368" t="str">
        <f>TEXT(Table1[[#This Row],[Order Date]],"mm")</f>
        <v>10</v>
      </c>
      <c r="R368" s="2">
        <f>Table1[[#This Row],[Profit]]/Table1[[#This Row],[Sales]]</f>
        <v>0.3396580253723111</v>
      </c>
      <c r="S368" t="str">
        <f t="shared" si="5"/>
        <v>Low (1-10%)</v>
      </c>
    </row>
    <row r="369" spans="1:19" x14ac:dyDescent="0.2">
      <c r="A369" t="s">
        <v>912</v>
      </c>
      <c r="B369" s="3" t="s">
        <v>913</v>
      </c>
      <c r="C369" t="s">
        <v>175</v>
      </c>
      <c r="D369" t="s">
        <v>27</v>
      </c>
      <c r="E369" t="s">
        <v>43</v>
      </c>
      <c r="F369" t="s">
        <v>19</v>
      </c>
      <c r="G369" t="s">
        <v>29</v>
      </c>
      <c r="H369" t="s">
        <v>50</v>
      </c>
      <c r="I369" s="4">
        <v>2599</v>
      </c>
      <c r="J369">
        <v>4</v>
      </c>
      <c r="K369" s="2">
        <v>0.25</v>
      </c>
      <c r="L369" s="4">
        <v>-200.76</v>
      </c>
      <c r="M369" t="s">
        <v>107</v>
      </c>
      <c r="N369" t="s">
        <v>76</v>
      </c>
      <c r="O369">
        <f>YEAR(Table1[[#This Row],[Order Date]])</f>
        <v>2025</v>
      </c>
      <c r="P369" t="str">
        <f>TEXT(Table1[[#This Row],[Order Date]],"mmmm")</f>
        <v>October</v>
      </c>
      <c r="Q369" t="str">
        <f>TEXT(Table1[[#This Row],[Order Date]],"mm")</f>
        <v>10</v>
      </c>
      <c r="R369" s="2">
        <f>Table1[[#This Row],[Profit]]/Table1[[#This Row],[Sales]]</f>
        <v>-7.7245094267025777E-2</v>
      </c>
      <c r="S369" t="str">
        <f t="shared" si="5"/>
        <v>High (21-30%)</v>
      </c>
    </row>
    <row r="370" spans="1:19" x14ac:dyDescent="0.2">
      <c r="A370" t="s">
        <v>914</v>
      </c>
      <c r="B370" s="3" t="s">
        <v>444</v>
      </c>
      <c r="C370" t="s">
        <v>608</v>
      </c>
      <c r="D370" t="s">
        <v>48</v>
      </c>
      <c r="E370" t="s">
        <v>110</v>
      </c>
      <c r="F370" t="s">
        <v>67</v>
      </c>
      <c r="G370" t="s">
        <v>85</v>
      </c>
      <c r="H370" t="s">
        <v>253</v>
      </c>
      <c r="I370" s="4">
        <v>776.03</v>
      </c>
      <c r="J370">
        <v>1</v>
      </c>
      <c r="K370" s="2">
        <v>0.05</v>
      </c>
      <c r="L370" s="4">
        <v>57.34</v>
      </c>
      <c r="M370" t="s">
        <v>63</v>
      </c>
      <c r="N370" t="s">
        <v>39</v>
      </c>
      <c r="O370">
        <f>YEAR(Table1[[#This Row],[Order Date]])</f>
        <v>2025</v>
      </c>
      <c r="P370" t="str">
        <f>TEXT(Table1[[#This Row],[Order Date]],"mmmm")</f>
        <v>December</v>
      </c>
      <c r="Q370" t="str">
        <f>TEXT(Table1[[#This Row],[Order Date]],"mm")</f>
        <v>12</v>
      </c>
      <c r="R370" s="2">
        <f>Table1[[#This Row],[Profit]]/Table1[[#This Row],[Sales]]</f>
        <v>7.3888896047833205E-2</v>
      </c>
      <c r="S370" t="str">
        <f t="shared" si="5"/>
        <v>Low (1-10%)</v>
      </c>
    </row>
    <row r="371" spans="1:19" x14ac:dyDescent="0.2">
      <c r="A371" t="s">
        <v>915</v>
      </c>
      <c r="B371" s="3" t="s">
        <v>916</v>
      </c>
      <c r="C371" t="s">
        <v>917</v>
      </c>
      <c r="D371" t="s">
        <v>27</v>
      </c>
      <c r="E371" t="s">
        <v>28</v>
      </c>
      <c r="F371" t="s">
        <v>55</v>
      </c>
      <c r="G371" t="s">
        <v>74</v>
      </c>
      <c r="H371" t="s">
        <v>133</v>
      </c>
      <c r="I371" s="4">
        <v>1129.81</v>
      </c>
      <c r="J371">
        <v>1</v>
      </c>
      <c r="K371" s="2">
        <v>0.2</v>
      </c>
      <c r="L371" s="4">
        <v>5.17</v>
      </c>
      <c r="M371" t="s">
        <v>87</v>
      </c>
      <c r="N371" t="s">
        <v>76</v>
      </c>
      <c r="O371">
        <f>YEAR(Table1[[#This Row],[Order Date]])</f>
        <v>2025</v>
      </c>
      <c r="P371" t="str">
        <f>TEXT(Table1[[#This Row],[Order Date]],"mmmm")</f>
        <v>April</v>
      </c>
      <c r="Q371" t="str">
        <f>TEXT(Table1[[#This Row],[Order Date]],"mm")</f>
        <v>04</v>
      </c>
      <c r="R371" s="2">
        <f>Table1[[#This Row],[Profit]]/Table1[[#This Row],[Sales]]</f>
        <v>4.5759906532956869E-3</v>
      </c>
      <c r="S371" t="str">
        <f t="shared" si="5"/>
        <v>Medium (11-20%)</v>
      </c>
    </row>
    <row r="372" spans="1:19" x14ac:dyDescent="0.2">
      <c r="A372" t="s">
        <v>918</v>
      </c>
      <c r="B372" s="3" t="s">
        <v>315</v>
      </c>
      <c r="C372" t="s">
        <v>687</v>
      </c>
      <c r="D372" t="s">
        <v>137</v>
      </c>
      <c r="E372" t="s">
        <v>160</v>
      </c>
      <c r="F372" t="s">
        <v>67</v>
      </c>
      <c r="G372" t="s">
        <v>68</v>
      </c>
      <c r="H372" t="s">
        <v>69</v>
      </c>
      <c r="I372" s="4">
        <v>1094.04</v>
      </c>
      <c r="J372">
        <v>1</v>
      </c>
      <c r="K372" s="2">
        <v>0.1</v>
      </c>
      <c r="L372" s="4">
        <v>-33.33</v>
      </c>
      <c r="M372" t="s">
        <v>38</v>
      </c>
      <c r="N372" t="s">
        <v>23</v>
      </c>
      <c r="O372">
        <f>YEAR(Table1[[#This Row],[Order Date]])</f>
        <v>2024</v>
      </c>
      <c r="P372" t="str">
        <f>TEXT(Table1[[#This Row],[Order Date]],"mmmm")</f>
        <v>September</v>
      </c>
      <c r="Q372" t="str">
        <f>TEXT(Table1[[#This Row],[Order Date]],"mm")</f>
        <v>09</v>
      </c>
      <c r="R372" s="2">
        <f>Table1[[#This Row],[Profit]]/Table1[[#This Row],[Sales]]</f>
        <v>-3.0465065262696062E-2</v>
      </c>
      <c r="S372" t="str">
        <f t="shared" si="5"/>
        <v>Low (1-10%)</v>
      </c>
    </row>
    <row r="373" spans="1:19" x14ac:dyDescent="0.2">
      <c r="A373" t="s">
        <v>919</v>
      </c>
      <c r="B373" s="3" t="s">
        <v>920</v>
      </c>
      <c r="C373" t="s">
        <v>678</v>
      </c>
      <c r="D373" t="s">
        <v>137</v>
      </c>
      <c r="E373" t="s">
        <v>142</v>
      </c>
      <c r="F373" t="s">
        <v>55</v>
      </c>
      <c r="G373" t="s">
        <v>74</v>
      </c>
      <c r="H373" t="s">
        <v>133</v>
      </c>
      <c r="I373" s="4">
        <v>4809.6000000000004</v>
      </c>
      <c r="J373">
        <v>9</v>
      </c>
      <c r="K373" s="2">
        <v>0.3</v>
      </c>
      <c r="L373" s="4">
        <v>-127.78</v>
      </c>
      <c r="M373" t="s">
        <v>87</v>
      </c>
      <c r="N373" t="s">
        <v>39</v>
      </c>
      <c r="O373">
        <f>YEAR(Table1[[#This Row],[Order Date]])</f>
        <v>2025</v>
      </c>
      <c r="P373" t="str">
        <f>TEXT(Table1[[#This Row],[Order Date]],"mmmm")</f>
        <v>April</v>
      </c>
      <c r="Q373" t="str">
        <f>TEXT(Table1[[#This Row],[Order Date]],"mm")</f>
        <v>04</v>
      </c>
      <c r="R373" s="2">
        <f>Table1[[#This Row],[Profit]]/Table1[[#This Row],[Sales]]</f>
        <v>-2.6567697937458414E-2</v>
      </c>
      <c r="S373" t="str">
        <f t="shared" si="5"/>
        <v>High (21-30%)</v>
      </c>
    </row>
    <row r="374" spans="1:19" x14ac:dyDescent="0.2">
      <c r="A374" t="s">
        <v>921</v>
      </c>
      <c r="B374" s="3" t="s">
        <v>922</v>
      </c>
      <c r="C374" t="s">
        <v>311</v>
      </c>
      <c r="D374" t="s">
        <v>27</v>
      </c>
      <c r="E374" t="s">
        <v>124</v>
      </c>
      <c r="F374" t="s">
        <v>67</v>
      </c>
      <c r="G374" t="s">
        <v>85</v>
      </c>
      <c r="H374" t="s">
        <v>253</v>
      </c>
      <c r="I374" s="4">
        <v>1902.42</v>
      </c>
      <c r="J374">
        <v>9</v>
      </c>
      <c r="K374" s="2">
        <v>0.2</v>
      </c>
      <c r="L374" s="4">
        <v>31.01</v>
      </c>
      <c r="M374" t="s">
        <v>117</v>
      </c>
      <c r="N374" t="s">
        <v>76</v>
      </c>
      <c r="O374">
        <f>YEAR(Table1[[#This Row],[Order Date]])</f>
        <v>2024</v>
      </c>
      <c r="P374" t="str">
        <f>TEXT(Table1[[#This Row],[Order Date]],"mmmm")</f>
        <v>February</v>
      </c>
      <c r="Q374" t="str">
        <f>TEXT(Table1[[#This Row],[Order Date]],"mm")</f>
        <v>02</v>
      </c>
      <c r="R374" s="2">
        <f>Table1[[#This Row],[Profit]]/Table1[[#This Row],[Sales]]</f>
        <v>1.6300291208040284E-2</v>
      </c>
      <c r="S374" t="str">
        <f t="shared" si="5"/>
        <v>Medium (11-20%)</v>
      </c>
    </row>
    <row r="375" spans="1:19" x14ac:dyDescent="0.2">
      <c r="A375" t="s">
        <v>923</v>
      </c>
      <c r="B375" s="3" t="s">
        <v>924</v>
      </c>
      <c r="C375" t="s">
        <v>324</v>
      </c>
      <c r="D375" t="s">
        <v>27</v>
      </c>
      <c r="E375" t="s">
        <v>28</v>
      </c>
      <c r="F375" t="s">
        <v>67</v>
      </c>
      <c r="G375" t="s">
        <v>68</v>
      </c>
      <c r="H375" t="s">
        <v>382</v>
      </c>
      <c r="I375" s="4">
        <v>4467.6000000000004</v>
      </c>
      <c r="J375">
        <v>4</v>
      </c>
      <c r="K375" s="2">
        <v>0.3</v>
      </c>
      <c r="L375" s="4">
        <v>-892.64</v>
      </c>
      <c r="M375" t="s">
        <v>107</v>
      </c>
      <c r="N375" t="s">
        <v>32</v>
      </c>
      <c r="O375">
        <f>YEAR(Table1[[#This Row],[Order Date]])</f>
        <v>2025</v>
      </c>
      <c r="P375" t="str">
        <f>TEXT(Table1[[#This Row],[Order Date]],"mmmm")</f>
        <v>November</v>
      </c>
      <c r="Q375" t="str">
        <f>TEXT(Table1[[#This Row],[Order Date]],"mm")</f>
        <v>11</v>
      </c>
      <c r="R375" s="2">
        <f>Table1[[#This Row],[Profit]]/Table1[[#This Row],[Sales]]</f>
        <v>-0.19980302623332435</v>
      </c>
      <c r="S375" t="str">
        <f t="shared" si="5"/>
        <v>High (21-30%)</v>
      </c>
    </row>
    <row r="376" spans="1:19" x14ac:dyDescent="0.2">
      <c r="A376" t="s">
        <v>925</v>
      </c>
      <c r="B376" s="3" t="s">
        <v>926</v>
      </c>
      <c r="C376" t="s">
        <v>672</v>
      </c>
      <c r="D376" t="s">
        <v>27</v>
      </c>
      <c r="E376" t="s">
        <v>43</v>
      </c>
      <c r="F376" t="s">
        <v>19</v>
      </c>
      <c r="G376" t="s">
        <v>36</v>
      </c>
      <c r="H376" t="s">
        <v>222</v>
      </c>
      <c r="I376" s="4">
        <v>5519.1</v>
      </c>
      <c r="J376">
        <v>5</v>
      </c>
      <c r="K376" s="2">
        <v>0.3</v>
      </c>
      <c r="L376" s="4">
        <v>-699.89</v>
      </c>
      <c r="M376" t="s">
        <v>107</v>
      </c>
      <c r="N376" t="s">
        <v>32</v>
      </c>
      <c r="O376">
        <f>YEAR(Table1[[#This Row],[Order Date]])</f>
        <v>2024</v>
      </c>
      <c r="P376" t="str">
        <f>TEXT(Table1[[#This Row],[Order Date]],"mmmm")</f>
        <v>July</v>
      </c>
      <c r="Q376" t="str">
        <f>TEXT(Table1[[#This Row],[Order Date]],"mm")</f>
        <v>07</v>
      </c>
      <c r="R376" s="2">
        <f>Table1[[#This Row],[Profit]]/Table1[[#This Row],[Sales]]</f>
        <v>-0.12681234259208929</v>
      </c>
      <c r="S376" t="str">
        <f t="shared" si="5"/>
        <v>High (21-30%)</v>
      </c>
    </row>
    <row r="377" spans="1:19" x14ac:dyDescent="0.2">
      <c r="A377" t="s">
        <v>927</v>
      </c>
      <c r="B377" s="3" t="s">
        <v>394</v>
      </c>
      <c r="C377" t="s">
        <v>42</v>
      </c>
      <c r="D377" t="s">
        <v>27</v>
      </c>
      <c r="E377" t="s">
        <v>61</v>
      </c>
      <c r="F377" t="s">
        <v>67</v>
      </c>
      <c r="G377" t="s">
        <v>115</v>
      </c>
      <c r="H377" t="s">
        <v>212</v>
      </c>
      <c r="I377" s="4">
        <v>927.51</v>
      </c>
      <c r="J377">
        <v>1</v>
      </c>
      <c r="K377" s="2">
        <v>0.05</v>
      </c>
      <c r="L377" s="4">
        <v>166.03</v>
      </c>
      <c r="M377" t="s">
        <v>31</v>
      </c>
      <c r="N377" t="s">
        <v>23</v>
      </c>
      <c r="O377">
        <f>YEAR(Table1[[#This Row],[Order Date]])</f>
        <v>2024</v>
      </c>
      <c r="P377" t="str">
        <f>TEXT(Table1[[#This Row],[Order Date]],"mmmm")</f>
        <v>September</v>
      </c>
      <c r="Q377" t="str">
        <f>TEXT(Table1[[#This Row],[Order Date]],"mm")</f>
        <v>09</v>
      </c>
      <c r="R377" s="2">
        <f>Table1[[#This Row],[Profit]]/Table1[[#This Row],[Sales]]</f>
        <v>0.17900615626785696</v>
      </c>
      <c r="S377" t="str">
        <f t="shared" si="5"/>
        <v>Low (1-10%)</v>
      </c>
    </row>
    <row r="378" spans="1:19" x14ac:dyDescent="0.2">
      <c r="A378" t="s">
        <v>928</v>
      </c>
      <c r="B378" s="3" t="s">
        <v>929</v>
      </c>
      <c r="C378" t="s">
        <v>128</v>
      </c>
      <c r="D378" t="s">
        <v>27</v>
      </c>
      <c r="E378" t="s">
        <v>43</v>
      </c>
      <c r="F378" t="s">
        <v>55</v>
      </c>
      <c r="G378" t="s">
        <v>56</v>
      </c>
      <c r="H378" t="s">
        <v>57</v>
      </c>
      <c r="I378" s="4">
        <v>1457.25</v>
      </c>
      <c r="J378">
        <v>5</v>
      </c>
      <c r="K378" s="2">
        <v>0.05</v>
      </c>
      <c r="L378" s="4">
        <v>327.16000000000003</v>
      </c>
      <c r="M378" t="s">
        <v>38</v>
      </c>
      <c r="N378" t="s">
        <v>76</v>
      </c>
      <c r="O378">
        <f>YEAR(Table1[[#This Row],[Order Date]])</f>
        <v>2024</v>
      </c>
      <c r="P378" t="str">
        <f>TEXT(Table1[[#This Row],[Order Date]],"mmmm")</f>
        <v>December</v>
      </c>
      <c r="Q378" t="str">
        <f>TEXT(Table1[[#This Row],[Order Date]],"mm")</f>
        <v>12</v>
      </c>
      <c r="R378" s="2">
        <f>Table1[[#This Row],[Profit]]/Table1[[#This Row],[Sales]]</f>
        <v>0.22450506090238465</v>
      </c>
      <c r="S378" t="str">
        <f t="shared" si="5"/>
        <v>Low (1-10%)</v>
      </c>
    </row>
    <row r="379" spans="1:19" x14ac:dyDescent="0.2">
      <c r="A379" t="s">
        <v>930</v>
      </c>
      <c r="B379" s="3" t="s">
        <v>931</v>
      </c>
      <c r="C379" t="s">
        <v>932</v>
      </c>
      <c r="D379" t="s">
        <v>48</v>
      </c>
      <c r="E379" t="s">
        <v>73</v>
      </c>
      <c r="F379" t="s">
        <v>67</v>
      </c>
      <c r="G379" t="s">
        <v>68</v>
      </c>
      <c r="H379" t="s">
        <v>69</v>
      </c>
      <c r="I379" s="4">
        <v>3953.94</v>
      </c>
      <c r="J379">
        <v>6</v>
      </c>
      <c r="K379" s="2">
        <v>0</v>
      </c>
      <c r="L379" s="4">
        <v>1452.52</v>
      </c>
      <c r="M379" t="s">
        <v>87</v>
      </c>
      <c r="N379" t="s">
        <v>39</v>
      </c>
      <c r="O379">
        <f>YEAR(Table1[[#This Row],[Order Date]])</f>
        <v>2025</v>
      </c>
      <c r="P379" t="str">
        <f>TEXT(Table1[[#This Row],[Order Date]],"mmmm")</f>
        <v>July</v>
      </c>
      <c r="Q379" t="str">
        <f>TEXT(Table1[[#This Row],[Order Date]],"mm")</f>
        <v>07</v>
      </c>
      <c r="R379" s="2">
        <f>Table1[[#This Row],[Profit]]/Table1[[#This Row],[Sales]]</f>
        <v>0.36736015215203061</v>
      </c>
      <c r="S379" t="str">
        <f t="shared" si="5"/>
        <v>No Discount</v>
      </c>
    </row>
    <row r="380" spans="1:19" x14ac:dyDescent="0.2">
      <c r="A380" t="s">
        <v>933</v>
      </c>
      <c r="B380" s="3" t="s">
        <v>497</v>
      </c>
      <c r="C380" t="s">
        <v>186</v>
      </c>
      <c r="D380" t="s">
        <v>27</v>
      </c>
      <c r="E380" t="s">
        <v>28</v>
      </c>
      <c r="F380" t="s">
        <v>55</v>
      </c>
      <c r="G380" t="s">
        <v>74</v>
      </c>
      <c r="H380" t="s">
        <v>75</v>
      </c>
      <c r="I380" s="4">
        <v>9544.32</v>
      </c>
      <c r="J380">
        <v>9</v>
      </c>
      <c r="K380" s="2">
        <v>0</v>
      </c>
      <c r="L380" s="4">
        <v>3838.14</v>
      </c>
      <c r="M380" t="s">
        <v>195</v>
      </c>
      <c r="N380" t="s">
        <v>39</v>
      </c>
      <c r="O380">
        <f>YEAR(Table1[[#This Row],[Order Date]])</f>
        <v>2025</v>
      </c>
      <c r="P380" t="str">
        <f>TEXT(Table1[[#This Row],[Order Date]],"mmmm")</f>
        <v>December</v>
      </c>
      <c r="Q380" t="str">
        <f>TEXT(Table1[[#This Row],[Order Date]],"mm")</f>
        <v>12</v>
      </c>
      <c r="R380" s="2">
        <f>Table1[[#This Row],[Profit]]/Table1[[#This Row],[Sales]]</f>
        <v>0.40213865419432709</v>
      </c>
      <c r="S380" t="str">
        <f t="shared" si="5"/>
        <v>No Discount</v>
      </c>
    </row>
    <row r="381" spans="1:19" x14ac:dyDescent="0.2">
      <c r="A381" t="s">
        <v>934</v>
      </c>
      <c r="B381" s="3" t="s">
        <v>935</v>
      </c>
      <c r="C381" t="s">
        <v>120</v>
      </c>
      <c r="D381" t="s">
        <v>17</v>
      </c>
      <c r="E381" t="s">
        <v>80</v>
      </c>
      <c r="F381" t="s">
        <v>67</v>
      </c>
      <c r="G381" t="s">
        <v>115</v>
      </c>
      <c r="H381" t="s">
        <v>116</v>
      </c>
      <c r="I381" s="4">
        <v>1246</v>
      </c>
      <c r="J381">
        <v>2</v>
      </c>
      <c r="K381" s="2">
        <v>0</v>
      </c>
      <c r="L381" s="4">
        <v>545.95000000000005</v>
      </c>
      <c r="M381" t="s">
        <v>38</v>
      </c>
      <c r="N381" t="s">
        <v>39</v>
      </c>
      <c r="O381">
        <f>YEAR(Table1[[#This Row],[Order Date]])</f>
        <v>2025</v>
      </c>
      <c r="P381" t="str">
        <f>TEXT(Table1[[#This Row],[Order Date]],"mmmm")</f>
        <v>May</v>
      </c>
      <c r="Q381" t="str">
        <f>TEXT(Table1[[#This Row],[Order Date]],"mm")</f>
        <v>05</v>
      </c>
      <c r="R381" s="2">
        <f>Table1[[#This Row],[Profit]]/Table1[[#This Row],[Sales]]</f>
        <v>0.43816211878009637</v>
      </c>
      <c r="S381" t="str">
        <f t="shared" si="5"/>
        <v>No Discount</v>
      </c>
    </row>
    <row r="382" spans="1:19" x14ac:dyDescent="0.2">
      <c r="A382" t="s">
        <v>936</v>
      </c>
      <c r="B382" s="3" t="s">
        <v>937</v>
      </c>
      <c r="C382" t="s">
        <v>630</v>
      </c>
      <c r="D382" t="s">
        <v>137</v>
      </c>
      <c r="E382" t="s">
        <v>160</v>
      </c>
      <c r="F382" t="s">
        <v>67</v>
      </c>
      <c r="G382" t="s">
        <v>85</v>
      </c>
      <c r="H382" t="s">
        <v>253</v>
      </c>
      <c r="I382" s="4">
        <v>2544.9899999999998</v>
      </c>
      <c r="J382">
        <v>7</v>
      </c>
      <c r="K382" s="2">
        <v>0</v>
      </c>
      <c r="L382" s="4">
        <v>242.95</v>
      </c>
      <c r="M382" t="s">
        <v>22</v>
      </c>
      <c r="N382" t="s">
        <v>39</v>
      </c>
      <c r="O382">
        <f>YEAR(Table1[[#This Row],[Order Date]])</f>
        <v>2025</v>
      </c>
      <c r="P382" t="str">
        <f>TEXT(Table1[[#This Row],[Order Date]],"mmmm")</f>
        <v>June</v>
      </c>
      <c r="Q382" t="str">
        <f>TEXT(Table1[[#This Row],[Order Date]],"mm")</f>
        <v>06</v>
      </c>
      <c r="R382" s="2">
        <f>Table1[[#This Row],[Profit]]/Table1[[#This Row],[Sales]]</f>
        <v>9.5462064683947676E-2</v>
      </c>
      <c r="S382" t="str">
        <f t="shared" si="5"/>
        <v>No Discount</v>
      </c>
    </row>
    <row r="383" spans="1:19" x14ac:dyDescent="0.2">
      <c r="A383" t="s">
        <v>938</v>
      </c>
      <c r="B383" s="3" t="s">
        <v>113</v>
      </c>
      <c r="C383" t="s">
        <v>163</v>
      </c>
      <c r="D383" t="s">
        <v>48</v>
      </c>
      <c r="E383" t="s">
        <v>110</v>
      </c>
      <c r="F383" t="s">
        <v>67</v>
      </c>
      <c r="G383" t="s">
        <v>85</v>
      </c>
      <c r="H383" t="s">
        <v>253</v>
      </c>
      <c r="I383" s="4">
        <v>7918.6</v>
      </c>
      <c r="J383">
        <v>10</v>
      </c>
      <c r="K383" s="2">
        <v>0</v>
      </c>
      <c r="L383" s="4">
        <v>3551.09</v>
      </c>
      <c r="M383" t="s">
        <v>22</v>
      </c>
      <c r="N383" t="s">
        <v>23</v>
      </c>
      <c r="O383">
        <f>YEAR(Table1[[#This Row],[Order Date]])</f>
        <v>2024</v>
      </c>
      <c r="P383" t="str">
        <f>TEXT(Table1[[#This Row],[Order Date]],"mmmm")</f>
        <v>January</v>
      </c>
      <c r="Q383" t="str">
        <f>TEXT(Table1[[#This Row],[Order Date]],"mm")</f>
        <v>01</v>
      </c>
      <c r="R383" s="2">
        <f>Table1[[#This Row],[Profit]]/Table1[[#This Row],[Sales]]</f>
        <v>0.44844922082186245</v>
      </c>
      <c r="S383" t="str">
        <f t="shared" si="5"/>
        <v>No Discount</v>
      </c>
    </row>
    <row r="384" spans="1:19" x14ac:dyDescent="0.2">
      <c r="A384" t="s">
        <v>939</v>
      </c>
      <c r="B384" s="3" t="s">
        <v>940</v>
      </c>
      <c r="C384" t="s">
        <v>305</v>
      </c>
      <c r="D384" t="s">
        <v>27</v>
      </c>
      <c r="E384" t="s">
        <v>61</v>
      </c>
      <c r="F384" t="s">
        <v>67</v>
      </c>
      <c r="G384" t="s">
        <v>115</v>
      </c>
      <c r="H384" t="s">
        <v>178</v>
      </c>
      <c r="I384" s="4">
        <v>6563.6</v>
      </c>
      <c r="J384">
        <v>8</v>
      </c>
      <c r="K384" s="2">
        <v>0.3</v>
      </c>
      <c r="L384" s="4">
        <v>435.24</v>
      </c>
      <c r="M384" t="s">
        <v>31</v>
      </c>
      <c r="N384" t="s">
        <v>32</v>
      </c>
      <c r="O384">
        <f>YEAR(Table1[[#This Row],[Order Date]])</f>
        <v>2024</v>
      </c>
      <c r="P384" t="str">
        <f>TEXT(Table1[[#This Row],[Order Date]],"mmmm")</f>
        <v>October</v>
      </c>
      <c r="Q384" t="str">
        <f>TEXT(Table1[[#This Row],[Order Date]],"mm")</f>
        <v>10</v>
      </c>
      <c r="R384" s="2">
        <f>Table1[[#This Row],[Profit]]/Table1[[#This Row],[Sales]]</f>
        <v>6.6311170699006647E-2</v>
      </c>
      <c r="S384" t="str">
        <f t="shared" si="5"/>
        <v>High (21-30%)</v>
      </c>
    </row>
    <row r="385" spans="1:19" x14ac:dyDescent="0.2">
      <c r="A385" t="s">
        <v>941</v>
      </c>
      <c r="B385" s="3" t="s">
        <v>848</v>
      </c>
      <c r="C385" t="s">
        <v>942</v>
      </c>
      <c r="D385" t="s">
        <v>137</v>
      </c>
      <c r="E385" t="s">
        <v>142</v>
      </c>
      <c r="F385" t="s">
        <v>55</v>
      </c>
      <c r="G385" t="s">
        <v>98</v>
      </c>
      <c r="H385" t="s">
        <v>150</v>
      </c>
      <c r="I385" s="4">
        <v>619.22</v>
      </c>
      <c r="J385">
        <v>1</v>
      </c>
      <c r="K385" s="2">
        <v>0.2</v>
      </c>
      <c r="L385" s="4">
        <v>92.4</v>
      </c>
      <c r="M385" t="s">
        <v>107</v>
      </c>
      <c r="N385" t="s">
        <v>76</v>
      </c>
      <c r="O385">
        <f>YEAR(Table1[[#This Row],[Order Date]])</f>
        <v>2024</v>
      </c>
      <c r="P385" t="str">
        <f>TEXT(Table1[[#This Row],[Order Date]],"mmmm")</f>
        <v>July</v>
      </c>
      <c r="Q385" t="str">
        <f>TEXT(Table1[[#This Row],[Order Date]],"mm")</f>
        <v>07</v>
      </c>
      <c r="R385" s="2">
        <f>Table1[[#This Row],[Profit]]/Table1[[#This Row],[Sales]]</f>
        <v>0.1492199864345467</v>
      </c>
      <c r="S385" t="str">
        <f t="shared" si="5"/>
        <v>Medium (11-20%)</v>
      </c>
    </row>
    <row r="386" spans="1:19" x14ac:dyDescent="0.2">
      <c r="A386" t="s">
        <v>943</v>
      </c>
      <c r="B386" s="3" t="s">
        <v>944</v>
      </c>
      <c r="C386" t="s">
        <v>252</v>
      </c>
      <c r="D386" t="s">
        <v>27</v>
      </c>
      <c r="E386" t="s">
        <v>43</v>
      </c>
      <c r="F386" t="s">
        <v>19</v>
      </c>
      <c r="G386" t="s">
        <v>29</v>
      </c>
      <c r="H386" t="s">
        <v>30</v>
      </c>
      <c r="I386" s="4">
        <v>1987.6</v>
      </c>
      <c r="J386">
        <v>4</v>
      </c>
      <c r="K386" s="2">
        <v>0.3</v>
      </c>
      <c r="L386" s="4">
        <v>-46.51</v>
      </c>
      <c r="M386" t="s">
        <v>107</v>
      </c>
      <c r="N386" t="s">
        <v>32</v>
      </c>
      <c r="O386">
        <f>YEAR(Table1[[#This Row],[Order Date]])</f>
        <v>2024</v>
      </c>
      <c r="P386" t="str">
        <f>TEXT(Table1[[#This Row],[Order Date]],"mmmm")</f>
        <v>June</v>
      </c>
      <c r="Q386" t="str">
        <f>TEXT(Table1[[#This Row],[Order Date]],"mm")</f>
        <v>06</v>
      </c>
      <c r="R386" s="2">
        <f>Table1[[#This Row],[Profit]]/Table1[[#This Row],[Sales]]</f>
        <v>-2.3400080499094384E-2</v>
      </c>
      <c r="S386" t="str">
        <f t="shared" ref="S386:S449" si="6">IF(K386=0,"No Discount",
IF(K386&lt;=0.1,"Low (1-10%)",
IF(K386&lt;=0.2,"Medium (11-20%)",
IF(K386&lt;=0.3,"High (21-30%)","Very High (&gt;30%)"))))</f>
        <v>High (21-30%)</v>
      </c>
    </row>
    <row r="387" spans="1:19" x14ac:dyDescent="0.2">
      <c r="A387" t="s">
        <v>945</v>
      </c>
      <c r="B387" s="3" t="s">
        <v>512</v>
      </c>
      <c r="C387" t="s">
        <v>123</v>
      </c>
      <c r="D387" t="s">
        <v>27</v>
      </c>
      <c r="E387" t="s">
        <v>43</v>
      </c>
      <c r="F387" t="s">
        <v>19</v>
      </c>
      <c r="G387" t="s">
        <v>36</v>
      </c>
      <c r="H387" t="s">
        <v>222</v>
      </c>
      <c r="I387" s="4">
        <v>2743.74</v>
      </c>
      <c r="J387">
        <v>3</v>
      </c>
      <c r="K387" s="2">
        <v>0.3</v>
      </c>
      <c r="L387" s="4">
        <v>320.45</v>
      </c>
      <c r="M387" t="s">
        <v>87</v>
      </c>
      <c r="N387" t="s">
        <v>23</v>
      </c>
      <c r="O387">
        <f>YEAR(Table1[[#This Row],[Order Date]])</f>
        <v>2024</v>
      </c>
      <c r="P387" t="str">
        <f>TEXT(Table1[[#This Row],[Order Date]],"mmmm")</f>
        <v>January</v>
      </c>
      <c r="Q387" t="str">
        <f>TEXT(Table1[[#This Row],[Order Date]],"mm")</f>
        <v>01</v>
      </c>
      <c r="R387" s="2">
        <f>Table1[[#This Row],[Profit]]/Table1[[#This Row],[Sales]]</f>
        <v>0.11679313637589568</v>
      </c>
      <c r="S387" t="str">
        <f t="shared" si="6"/>
        <v>High (21-30%)</v>
      </c>
    </row>
    <row r="388" spans="1:19" x14ac:dyDescent="0.2">
      <c r="A388" t="s">
        <v>946</v>
      </c>
      <c r="B388" s="3" t="s">
        <v>947</v>
      </c>
      <c r="C388" t="s">
        <v>79</v>
      </c>
      <c r="D388" t="s">
        <v>137</v>
      </c>
      <c r="E388" t="s">
        <v>242</v>
      </c>
      <c r="F388" t="s">
        <v>55</v>
      </c>
      <c r="G388" t="s">
        <v>74</v>
      </c>
      <c r="H388" t="s">
        <v>272</v>
      </c>
      <c r="I388" s="4">
        <v>4763.9399999999996</v>
      </c>
      <c r="J388">
        <v>6</v>
      </c>
      <c r="K388" s="2">
        <v>0.25</v>
      </c>
      <c r="L388" s="4">
        <v>-311.02</v>
      </c>
      <c r="M388" t="s">
        <v>22</v>
      </c>
      <c r="N388" t="s">
        <v>23</v>
      </c>
      <c r="O388">
        <f>YEAR(Table1[[#This Row],[Order Date]])</f>
        <v>2025</v>
      </c>
      <c r="P388" t="str">
        <f>TEXT(Table1[[#This Row],[Order Date]],"mmmm")</f>
        <v>January</v>
      </c>
      <c r="Q388" t="str">
        <f>TEXT(Table1[[#This Row],[Order Date]],"mm")</f>
        <v>01</v>
      </c>
      <c r="R388" s="2">
        <f>Table1[[#This Row],[Profit]]/Table1[[#This Row],[Sales]]</f>
        <v>-6.5286296636817426E-2</v>
      </c>
      <c r="S388" t="str">
        <f t="shared" si="6"/>
        <v>High (21-30%)</v>
      </c>
    </row>
    <row r="389" spans="1:19" x14ac:dyDescent="0.2">
      <c r="A389" t="s">
        <v>948</v>
      </c>
      <c r="B389" s="3" t="s">
        <v>949</v>
      </c>
      <c r="C389" t="s">
        <v>950</v>
      </c>
      <c r="D389" t="s">
        <v>17</v>
      </c>
      <c r="E389" t="s">
        <v>97</v>
      </c>
      <c r="F389" t="s">
        <v>19</v>
      </c>
      <c r="G389" t="s">
        <v>29</v>
      </c>
      <c r="H389" t="s">
        <v>50</v>
      </c>
      <c r="I389" s="4">
        <v>4875.7</v>
      </c>
      <c r="J389">
        <v>5</v>
      </c>
      <c r="K389" s="2">
        <v>0.25</v>
      </c>
      <c r="L389" s="4">
        <v>314.04000000000002</v>
      </c>
      <c r="M389" t="s">
        <v>38</v>
      </c>
      <c r="N389" t="s">
        <v>39</v>
      </c>
      <c r="O389">
        <f>YEAR(Table1[[#This Row],[Order Date]])</f>
        <v>2025</v>
      </c>
      <c r="P389" t="str">
        <f>TEXT(Table1[[#This Row],[Order Date]],"mmmm")</f>
        <v>April</v>
      </c>
      <c r="Q389" t="str">
        <f>TEXT(Table1[[#This Row],[Order Date]],"mm")</f>
        <v>04</v>
      </c>
      <c r="R389" s="2">
        <f>Table1[[#This Row],[Profit]]/Table1[[#This Row],[Sales]]</f>
        <v>6.4409213036076884E-2</v>
      </c>
      <c r="S389" t="str">
        <f t="shared" si="6"/>
        <v>High (21-30%)</v>
      </c>
    </row>
    <row r="390" spans="1:19" x14ac:dyDescent="0.2">
      <c r="A390" t="s">
        <v>951</v>
      </c>
      <c r="B390" s="3" t="s">
        <v>952</v>
      </c>
      <c r="C390" t="s">
        <v>169</v>
      </c>
      <c r="D390" t="s">
        <v>17</v>
      </c>
      <c r="E390" t="s">
        <v>54</v>
      </c>
      <c r="F390" t="s">
        <v>67</v>
      </c>
      <c r="G390" t="s">
        <v>115</v>
      </c>
      <c r="H390" t="s">
        <v>116</v>
      </c>
      <c r="I390" s="4">
        <v>11977.1</v>
      </c>
      <c r="J390">
        <v>10</v>
      </c>
      <c r="K390" s="2">
        <v>0</v>
      </c>
      <c r="L390" s="4">
        <v>1120.08</v>
      </c>
      <c r="M390" t="s">
        <v>87</v>
      </c>
      <c r="N390" t="s">
        <v>32</v>
      </c>
      <c r="O390">
        <f>YEAR(Table1[[#This Row],[Order Date]])</f>
        <v>2024</v>
      </c>
      <c r="P390" t="str">
        <f>TEXT(Table1[[#This Row],[Order Date]],"mmmm")</f>
        <v>April</v>
      </c>
      <c r="Q390" t="str">
        <f>TEXT(Table1[[#This Row],[Order Date]],"mm")</f>
        <v>04</v>
      </c>
      <c r="R390" s="2">
        <f>Table1[[#This Row],[Profit]]/Table1[[#This Row],[Sales]]</f>
        <v>9.3518464402902193E-2</v>
      </c>
      <c r="S390" t="str">
        <f t="shared" si="6"/>
        <v>No Discount</v>
      </c>
    </row>
    <row r="391" spans="1:19" x14ac:dyDescent="0.2">
      <c r="A391" t="s">
        <v>953</v>
      </c>
      <c r="B391" s="3" t="s">
        <v>954</v>
      </c>
      <c r="C391" t="s">
        <v>637</v>
      </c>
      <c r="D391" t="s">
        <v>48</v>
      </c>
      <c r="E391" t="s">
        <v>84</v>
      </c>
      <c r="F391" t="s">
        <v>19</v>
      </c>
      <c r="G391" t="s">
        <v>36</v>
      </c>
      <c r="H391" t="s">
        <v>111</v>
      </c>
      <c r="I391" s="4">
        <v>222.84</v>
      </c>
      <c r="J391">
        <v>3</v>
      </c>
      <c r="K391" s="2">
        <v>0.2</v>
      </c>
      <c r="L391" s="4">
        <v>10.35</v>
      </c>
      <c r="M391" t="s">
        <v>63</v>
      </c>
      <c r="N391" t="s">
        <v>39</v>
      </c>
      <c r="O391">
        <f>YEAR(Table1[[#This Row],[Order Date]])</f>
        <v>2025</v>
      </c>
      <c r="P391" t="str">
        <f>TEXT(Table1[[#This Row],[Order Date]],"mmmm")</f>
        <v>June</v>
      </c>
      <c r="Q391" t="str">
        <f>TEXT(Table1[[#This Row],[Order Date]],"mm")</f>
        <v>06</v>
      </c>
      <c r="R391" s="2">
        <f>Table1[[#This Row],[Profit]]/Table1[[#This Row],[Sales]]</f>
        <v>4.6445880452342485E-2</v>
      </c>
      <c r="S391" t="str">
        <f t="shared" si="6"/>
        <v>Medium (11-20%)</v>
      </c>
    </row>
    <row r="392" spans="1:19" x14ac:dyDescent="0.2">
      <c r="A392" t="s">
        <v>955</v>
      </c>
      <c r="B392" s="3" t="s">
        <v>956</v>
      </c>
      <c r="C392" t="s">
        <v>932</v>
      </c>
      <c r="D392" t="s">
        <v>27</v>
      </c>
      <c r="E392" t="s">
        <v>43</v>
      </c>
      <c r="F392" t="s">
        <v>55</v>
      </c>
      <c r="G392" t="s">
        <v>74</v>
      </c>
      <c r="H392" t="s">
        <v>75</v>
      </c>
      <c r="I392" s="4">
        <v>3795.03</v>
      </c>
      <c r="J392">
        <v>9</v>
      </c>
      <c r="K392" s="2">
        <v>0.15</v>
      </c>
      <c r="L392" s="4">
        <v>650.94000000000005</v>
      </c>
      <c r="M392" t="s">
        <v>31</v>
      </c>
      <c r="N392" t="s">
        <v>32</v>
      </c>
      <c r="O392">
        <f>YEAR(Table1[[#This Row],[Order Date]])</f>
        <v>2025</v>
      </c>
      <c r="P392" t="str">
        <f>TEXT(Table1[[#This Row],[Order Date]],"mmmm")</f>
        <v>March</v>
      </c>
      <c r="Q392" t="str">
        <f>TEXT(Table1[[#This Row],[Order Date]],"mm")</f>
        <v>03</v>
      </c>
      <c r="R392" s="2">
        <f>Table1[[#This Row],[Profit]]/Table1[[#This Row],[Sales]]</f>
        <v>0.17152433577600176</v>
      </c>
      <c r="S392" t="str">
        <f t="shared" si="6"/>
        <v>Medium (11-20%)</v>
      </c>
    </row>
    <row r="393" spans="1:19" x14ac:dyDescent="0.2">
      <c r="A393" t="s">
        <v>957</v>
      </c>
      <c r="B393" s="3" t="s">
        <v>958</v>
      </c>
      <c r="C393" t="s">
        <v>959</v>
      </c>
      <c r="D393" t="s">
        <v>27</v>
      </c>
      <c r="E393" t="s">
        <v>43</v>
      </c>
      <c r="F393" t="s">
        <v>19</v>
      </c>
      <c r="G393" t="s">
        <v>36</v>
      </c>
      <c r="H393" t="s">
        <v>111</v>
      </c>
      <c r="I393" s="4">
        <v>1673.07</v>
      </c>
      <c r="J393">
        <v>7</v>
      </c>
      <c r="K393" s="2">
        <v>0</v>
      </c>
      <c r="L393" s="4">
        <v>412</v>
      </c>
      <c r="M393" t="s">
        <v>143</v>
      </c>
      <c r="N393" t="s">
        <v>32</v>
      </c>
      <c r="O393">
        <f>YEAR(Table1[[#This Row],[Order Date]])</f>
        <v>2025</v>
      </c>
      <c r="P393" t="str">
        <f>TEXT(Table1[[#This Row],[Order Date]],"mmmm")</f>
        <v>April</v>
      </c>
      <c r="Q393" t="str">
        <f>TEXT(Table1[[#This Row],[Order Date]],"mm")</f>
        <v>04</v>
      </c>
      <c r="R393" s="2">
        <f>Table1[[#This Row],[Profit]]/Table1[[#This Row],[Sales]]</f>
        <v>0.24625389254484273</v>
      </c>
      <c r="S393" t="str">
        <f t="shared" si="6"/>
        <v>No Discount</v>
      </c>
    </row>
    <row r="394" spans="1:19" x14ac:dyDescent="0.2">
      <c r="A394" t="s">
        <v>960</v>
      </c>
      <c r="B394" s="3" t="s">
        <v>940</v>
      </c>
      <c r="C394" t="s">
        <v>252</v>
      </c>
      <c r="D394" t="s">
        <v>48</v>
      </c>
      <c r="E394" t="s">
        <v>49</v>
      </c>
      <c r="F394" t="s">
        <v>19</v>
      </c>
      <c r="G394" t="s">
        <v>36</v>
      </c>
      <c r="H394" t="s">
        <v>111</v>
      </c>
      <c r="I394" s="4">
        <v>6213.48</v>
      </c>
      <c r="J394">
        <v>6</v>
      </c>
      <c r="K394" s="2">
        <v>0.15</v>
      </c>
      <c r="L394" s="4">
        <v>-428.53</v>
      </c>
      <c r="M394" t="s">
        <v>22</v>
      </c>
      <c r="N394" t="s">
        <v>32</v>
      </c>
      <c r="O394">
        <f>YEAR(Table1[[#This Row],[Order Date]])</f>
        <v>2024</v>
      </c>
      <c r="P394" t="str">
        <f>TEXT(Table1[[#This Row],[Order Date]],"mmmm")</f>
        <v>October</v>
      </c>
      <c r="Q394" t="str">
        <f>TEXT(Table1[[#This Row],[Order Date]],"mm")</f>
        <v>10</v>
      </c>
      <c r="R394" s="2">
        <f>Table1[[#This Row],[Profit]]/Table1[[#This Row],[Sales]]</f>
        <v>-6.8967792605753947E-2</v>
      </c>
      <c r="S394" t="str">
        <f t="shared" si="6"/>
        <v>Medium (11-20%)</v>
      </c>
    </row>
    <row r="395" spans="1:19" x14ac:dyDescent="0.2">
      <c r="A395" t="s">
        <v>961</v>
      </c>
      <c r="B395" s="3" t="s">
        <v>962</v>
      </c>
      <c r="C395" t="s">
        <v>566</v>
      </c>
      <c r="D395" t="s">
        <v>17</v>
      </c>
      <c r="E395" t="s">
        <v>54</v>
      </c>
      <c r="F395" t="s">
        <v>67</v>
      </c>
      <c r="G395" t="s">
        <v>85</v>
      </c>
      <c r="H395" t="s">
        <v>125</v>
      </c>
      <c r="I395" s="4">
        <v>7988.48</v>
      </c>
      <c r="J395">
        <v>8</v>
      </c>
      <c r="K395" s="2">
        <v>0.25</v>
      </c>
      <c r="L395" s="4">
        <v>-360.36</v>
      </c>
      <c r="M395" t="s">
        <v>117</v>
      </c>
      <c r="N395" t="s">
        <v>23</v>
      </c>
      <c r="O395">
        <f>YEAR(Table1[[#This Row],[Order Date]])</f>
        <v>2024</v>
      </c>
      <c r="P395" t="str">
        <f>TEXT(Table1[[#This Row],[Order Date]],"mmmm")</f>
        <v>April</v>
      </c>
      <c r="Q395" t="str">
        <f>TEXT(Table1[[#This Row],[Order Date]],"mm")</f>
        <v>04</v>
      </c>
      <c r="R395" s="2">
        <f>Table1[[#This Row],[Profit]]/Table1[[#This Row],[Sales]]</f>
        <v>-4.5109958340009616E-2</v>
      </c>
      <c r="S395" t="str">
        <f t="shared" si="6"/>
        <v>High (21-30%)</v>
      </c>
    </row>
    <row r="396" spans="1:19" x14ac:dyDescent="0.2">
      <c r="A396" t="s">
        <v>963</v>
      </c>
      <c r="B396" s="3" t="s">
        <v>415</v>
      </c>
      <c r="C396" t="s">
        <v>408</v>
      </c>
      <c r="D396" t="s">
        <v>27</v>
      </c>
      <c r="E396" t="s">
        <v>61</v>
      </c>
      <c r="F396" t="s">
        <v>19</v>
      </c>
      <c r="G396" t="s">
        <v>29</v>
      </c>
      <c r="H396" t="s">
        <v>30</v>
      </c>
      <c r="I396" s="4">
        <v>1410</v>
      </c>
      <c r="J396">
        <v>6</v>
      </c>
      <c r="K396" s="2">
        <v>0.15</v>
      </c>
      <c r="L396" s="4">
        <v>260.58</v>
      </c>
      <c r="M396" t="s">
        <v>22</v>
      </c>
      <c r="N396" t="s">
        <v>32</v>
      </c>
      <c r="O396">
        <f>YEAR(Table1[[#This Row],[Order Date]])</f>
        <v>2024</v>
      </c>
      <c r="P396" t="str">
        <f>TEXT(Table1[[#This Row],[Order Date]],"mmmm")</f>
        <v>December</v>
      </c>
      <c r="Q396" t="str">
        <f>TEXT(Table1[[#This Row],[Order Date]],"mm")</f>
        <v>12</v>
      </c>
      <c r="R396" s="2">
        <f>Table1[[#This Row],[Profit]]/Table1[[#This Row],[Sales]]</f>
        <v>0.18480851063829787</v>
      </c>
      <c r="S396" t="str">
        <f t="shared" si="6"/>
        <v>Medium (11-20%)</v>
      </c>
    </row>
    <row r="397" spans="1:19" x14ac:dyDescent="0.2">
      <c r="A397" t="s">
        <v>964</v>
      </c>
      <c r="B397" s="3" t="s">
        <v>965</v>
      </c>
      <c r="C397" t="s">
        <v>966</v>
      </c>
      <c r="D397" t="s">
        <v>27</v>
      </c>
      <c r="E397" t="s">
        <v>61</v>
      </c>
      <c r="F397" t="s">
        <v>19</v>
      </c>
      <c r="G397" t="s">
        <v>36</v>
      </c>
      <c r="H397" t="s">
        <v>222</v>
      </c>
      <c r="I397" s="4">
        <v>4630.38</v>
      </c>
      <c r="J397">
        <v>6</v>
      </c>
      <c r="K397" s="2">
        <v>0.3</v>
      </c>
      <c r="L397" s="4">
        <v>94.83</v>
      </c>
      <c r="M397" t="s">
        <v>107</v>
      </c>
      <c r="N397" t="s">
        <v>23</v>
      </c>
      <c r="O397">
        <f>YEAR(Table1[[#This Row],[Order Date]])</f>
        <v>2025</v>
      </c>
      <c r="P397" t="str">
        <f>TEXT(Table1[[#This Row],[Order Date]],"mmmm")</f>
        <v>November</v>
      </c>
      <c r="Q397" t="str">
        <f>TEXT(Table1[[#This Row],[Order Date]],"mm")</f>
        <v>11</v>
      </c>
      <c r="R397" s="2">
        <f>Table1[[#This Row],[Profit]]/Table1[[#This Row],[Sales]]</f>
        <v>2.0479960607984658E-2</v>
      </c>
      <c r="S397" t="str">
        <f t="shared" si="6"/>
        <v>High (21-30%)</v>
      </c>
    </row>
    <row r="398" spans="1:19" x14ac:dyDescent="0.2">
      <c r="A398" t="s">
        <v>967</v>
      </c>
      <c r="B398" s="3" t="s">
        <v>968</v>
      </c>
      <c r="C398" t="s">
        <v>123</v>
      </c>
      <c r="D398" t="s">
        <v>137</v>
      </c>
      <c r="E398" t="s">
        <v>138</v>
      </c>
      <c r="F398" t="s">
        <v>55</v>
      </c>
      <c r="G398" t="s">
        <v>74</v>
      </c>
      <c r="H398" t="s">
        <v>75</v>
      </c>
      <c r="I398" s="4">
        <v>4290.4799999999996</v>
      </c>
      <c r="J398">
        <v>4</v>
      </c>
      <c r="K398" s="2">
        <v>0.05</v>
      </c>
      <c r="L398" s="4">
        <v>1310.92</v>
      </c>
      <c r="M398" t="s">
        <v>87</v>
      </c>
      <c r="N398" t="s">
        <v>76</v>
      </c>
      <c r="O398">
        <f>YEAR(Table1[[#This Row],[Order Date]])</f>
        <v>2025</v>
      </c>
      <c r="P398" t="str">
        <f>TEXT(Table1[[#This Row],[Order Date]],"mmmm")</f>
        <v>December</v>
      </c>
      <c r="Q398" t="str">
        <f>TEXT(Table1[[#This Row],[Order Date]],"mm")</f>
        <v>12</v>
      </c>
      <c r="R398" s="2">
        <f>Table1[[#This Row],[Profit]]/Table1[[#This Row],[Sales]]</f>
        <v>0.30554157110626323</v>
      </c>
      <c r="S398" t="str">
        <f t="shared" si="6"/>
        <v>Low (1-10%)</v>
      </c>
    </row>
    <row r="399" spans="1:19" x14ac:dyDescent="0.2">
      <c r="A399" t="s">
        <v>969</v>
      </c>
      <c r="B399" s="3" t="s">
        <v>970</v>
      </c>
      <c r="C399" t="s">
        <v>646</v>
      </c>
      <c r="D399" t="s">
        <v>48</v>
      </c>
      <c r="E399" t="s">
        <v>73</v>
      </c>
      <c r="F399" t="s">
        <v>19</v>
      </c>
      <c r="G399" t="s">
        <v>29</v>
      </c>
      <c r="H399" t="s">
        <v>199</v>
      </c>
      <c r="I399" s="4">
        <v>9198.16</v>
      </c>
      <c r="J399">
        <v>8</v>
      </c>
      <c r="K399" s="2">
        <v>0.25</v>
      </c>
      <c r="L399" s="4">
        <v>1113.92</v>
      </c>
      <c r="M399" t="s">
        <v>195</v>
      </c>
      <c r="N399" t="s">
        <v>76</v>
      </c>
      <c r="O399">
        <f>YEAR(Table1[[#This Row],[Order Date]])</f>
        <v>2025</v>
      </c>
      <c r="P399" t="str">
        <f>TEXT(Table1[[#This Row],[Order Date]],"mmmm")</f>
        <v>December</v>
      </c>
      <c r="Q399" t="str">
        <f>TEXT(Table1[[#This Row],[Order Date]],"mm")</f>
        <v>12</v>
      </c>
      <c r="R399" s="2">
        <f>Table1[[#This Row],[Profit]]/Table1[[#This Row],[Sales]]</f>
        <v>0.1211024813658384</v>
      </c>
      <c r="S399" t="str">
        <f t="shared" si="6"/>
        <v>High (21-30%)</v>
      </c>
    </row>
    <row r="400" spans="1:19" x14ac:dyDescent="0.2">
      <c r="A400" t="s">
        <v>971</v>
      </c>
      <c r="B400" s="3" t="s">
        <v>972</v>
      </c>
      <c r="C400" t="s">
        <v>843</v>
      </c>
      <c r="D400" t="s">
        <v>48</v>
      </c>
      <c r="E400" t="s">
        <v>73</v>
      </c>
      <c r="F400" t="s">
        <v>55</v>
      </c>
      <c r="G400" t="s">
        <v>98</v>
      </c>
      <c r="H400" t="s">
        <v>154</v>
      </c>
      <c r="I400" s="4">
        <v>1450</v>
      </c>
      <c r="J400">
        <v>2</v>
      </c>
      <c r="K400" s="2">
        <v>0.05</v>
      </c>
      <c r="L400" s="4">
        <v>512.65</v>
      </c>
      <c r="M400" t="s">
        <v>195</v>
      </c>
      <c r="N400" t="s">
        <v>39</v>
      </c>
      <c r="O400">
        <f>YEAR(Table1[[#This Row],[Order Date]])</f>
        <v>2024</v>
      </c>
      <c r="P400" t="str">
        <f>TEXT(Table1[[#This Row],[Order Date]],"mmmm")</f>
        <v>March</v>
      </c>
      <c r="Q400" t="str">
        <f>TEXT(Table1[[#This Row],[Order Date]],"mm")</f>
        <v>03</v>
      </c>
      <c r="R400" s="2">
        <f>Table1[[#This Row],[Profit]]/Table1[[#This Row],[Sales]]</f>
        <v>0.35355172413793101</v>
      </c>
      <c r="S400" t="str">
        <f t="shared" si="6"/>
        <v>Low (1-10%)</v>
      </c>
    </row>
    <row r="401" spans="1:19" x14ac:dyDescent="0.2">
      <c r="A401" t="s">
        <v>973</v>
      </c>
      <c r="B401" s="3" t="s">
        <v>600</v>
      </c>
      <c r="C401" t="s">
        <v>26</v>
      </c>
      <c r="D401" t="s">
        <v>17</v>
      </c>
      <c r="E401" t="s">
        <v>80</v>
      </c>
      <c r="F401" t="s">
        <v>55</v>
      </c>
      <c r="G401" t="s">
        <v>56</v>
      </c>
      <c r="H401" t="s">
        <v>62</v>
      </c>
      <c r="I401" s="4">
        <v>3355.24</v>
      </c>
      <c r="J401">
        <v>4</v>
      </c>
      <c r="K401" s="2">
        <v>0</v>
      </c>
      <c r="L401" s="4">
        <v>753.71</v>
      </c>
      <c r="M401" t="s">
        <v>38</v>
      </c>
      <c r="N401" t="s">
        <v>23</v>
      </c>
      <c r="O401">
        <f>YEAR(Table1[[#This Row],[Order Date]])</f>
        <v>2025</v>
      </c>
      <c r="P401" t="str">
        <f>TEXT(Table1[[#This Row],[Order Date]],"mmmm")</f>
        <v>October</v>
      </c>
      <c r="Q401" t="str">
        <f>TEXT(Table1[[#This Row],[Order Date]],"mm")</f>
        <v>10</v>
      </c>
      <c r="R401" s="2">
        <f>Table1[[#This Row],[Profit]]/Table1[[#This Row],[Sales]]</f>
        <v>0.22463668768851114</v>
      </c>
      <c r="S401" t="str">
        <f t="shared" si="6"/>
        <v>No Discount</v>
      </c>
    </row>
    <row r="402" spans="1:19" x14ac:dyDescent="0.2">
      <c r="A402" t="s">
        <v>974</v>
      </c>
      <c r="B402" s="3" t="s">
        <v>739</v>
      </c>
      <c r="C402" t="s">
        <v>166</v>
      </c>
      <c r="D402" t="s">
        <v>17</v>
      </c>
      <c r="E402" t="s">
        <v>54</v>
      </c>
      <c r="F402" t="s">
        <v>67</v>
      </c>
      <c r="G402" t="s">
        <v>68</v>
      </c>
      <c r="H402" t="s">
        <v>382</v>
      </c>
      <c r="I402" s="4">
        <v>1529.88</v>
      </c>
      <c r="J402">
        <v>6</v>
      </c>
      <c r="K402" s="2">
        <v>0.25</v>
      </c>
      <c r="L402" s="4">
        <v>165.97</v>
      </c>
      <c r="M402" t="s">
        <v>38</v>
      </c>
      <c r="N402" t="s">
        <v>23</v>
      </c>
      <c r="O402">
        <f>YEAR(Table1[[#This Row],[Order Date]])</f>
        <v>2024</v>
      </c>
      <c r="P402" t="str">
        <f>TEXT(Table1[[#This Row],[Order Date]],"mmmm")</f>
        <v>April</v>
      </c>
      <c r="Q402" t="str">
        <f>TEXT(Table1[[#This Row],[Order Date]],"mm")</f>
        <v>04</v>
      </c>
      <c r="R402" s="2">
        <f>Table1[[#This Row],[Profit]]/Table1[[#This Row],[Sales]]</f>
        <v>0.10848563286009359</v>
      </c>
      <c r="S402" t="str">
        <f t="shared" si="6"/>
        <v>High (21-30%)</v>
      </c>
    </row>
    <row r="403" spans="1:19" x14ac:dyDescent="0.2">
      <c r="A403" t="s">
        <v>975</v>
      </c>
      <c r="B403" s="3" t="s">
        <v>976</v>
      </c>
      <c r="C403" t="s">
        <v>771</v>
      </c>
      <c r="D403" t="s">
        <v>137</v>
      </c>
      <c r="E403" t="s">
        <v>142</v>
      </c>
      <c r="F403" t="s">
        <v>67</v>
      </c>
      <c r="G403" t="s">
        <v>68</v>
      </c>
      <c r="H403" t="s">
        <v>103</v>
      </c>
      <c r="I403" s="4">
        <v>7087.14</v>
      </c>
      <c r="J403">
        <v>9</v>
      </c>
      <c r="K403" s="2">
        <v>0.15</v>
      </c>
      <c r="L403" s="4">
        <v>804.4</v>
      </c>
      <c r="M403" t="s">
        <v>63</v>
      </c>
      <c r="N403" t="s">
        <v>39</v>
      </c>
      <c r="O403">
        <f>YEAR(Table1[[#This Row],[Order Date]])</f>
        <v>2024</v>
      </c>
      <c r="P403" t="str">
        <f>TEXT(Table1[[#This Row],[Order Date]],"mmmm")</f>
        <v>September</v>
      </c>
      <c r="Q403" t="str">
        <f>TEXT(Table1[[#This Row],[Order Date]],"mm")</f>
        <v>09</v>
      </c>
      <c r="R403" s="2">
        <f>Table1[[#This Row],[Profit]]/Table1[[#This Row],[Sales]]</f>
        <v>0.11350135597716426</v>
      </c>
      <c r="S403" t="str">
        <f t="shared" si="6"/>
        <v>Medium (11-20%)</v>
      </c>
    </row>
    <row r="404" spans="1:19" x14ac:dyDescent="0.2">
      <c r="A404" t="s">
        <v>977</v>
      </c>
      <c r="B404" s="3" t="s">
        <v>165</v>
      </c>
      <c r="C404" t="s">
        <v>942</v>
      </c>
      <c r="D404" t="s">
        <v>48</v>
      </c>
      <c r="E404" t="s">
        <v>110</v>
      </c>
      <c r="F404" t="s">
        <v>19</v>
      </c>
      <c r="G404" t="s">
        <v>20</v>
      </c>
      <c r="H404" t="s">
        <v>239</v>
      </c>
      <c r="I404" s="4">
        <v>3653.12</v>
      </c>
      <c r="J404">
        <v>4</v>
      </c>
      <c r="K404" s="2">
        <v>0.15</v>
      </c>
      <c r="L404" s="4">
        <v>-154.34</v>
      </c>
      <c r="M404" t="s">
        <v>107</v>
      </c>
      <c r="N404" t="s">
        <v>39</v>
      </c>
      <c r="O404">
        <f>YEAR(Table1[[#This Row],[Order Date]])</f>
        <v>2025</v>
      </c>
      <c r="P404" t="str">
        <f>TEXT(Table1[[#This Row],[Order Date]],"mmmm")</f>
        <v>January</v>
      </c>
      <c r="Q404" t="str">
        <f>TEXT(Table1[[#This Row],[Order Date]],"mm")</f>
        <v>01</v>
      </c>
      <c r="R404" s="2">
        <f>Table1[[#This Row],[Profit]]/Table1[[#This Row],[Sales]]</f>
        <v>-4.2248817449194113E-2</v>
      </c>
      <c r="S404" t="str">
        <f t="shared" si="6"/>
        <v>Medium (11-20%)</v>
      </c>
    </row>
    <row r="405" spans="1:19" x14ac:dyDescent="0.2">
      <c r="A405" t="s">
        <v>978</v>
      </c>
      <c r="B405" s="3" t="s">
        <v>420</v>
      </c>
      <c r="C405" t="s">
        <v>225</v>
      </c>
      <c r="D405" t="s">
        <v>17</v>
      </c>
      <c r="E405" t="s">
        <v>54</v>
      </c>
      <c r="F405" t="s">
        <v>67</v>
      </c>
      <c r="G405" t="s">
        <v>115</v>
      </c>
      <c r="H405" t="s">
        <v>212</v>
      </c>
      <c r="I405" s="4">
        <v>1387.9</v>
      </c>
      <c r="J405">
        <v>2</v>
      </c>
      <c r="K405" s="2">
        <v>0.05</v>
      </c>
      <c r="L405" s="4">
        <v>263.99</v>
      </c>
      <c r="M405" t="s">
        <v>44</v>
      </c>
      <c r="N405" t="s">
        <v>76</v>
      </c>
      <c r="O405">
        <f>YEAR(Table1[[#This Row],[Order Date]])</f>
        <v>2024</v>
      </c>
      <c r="P405" t="str">
        <f>TEXT(Table1[[#This Row],[Order Date]],"mmmm")</f>
        <v>July</v>
      </c>
      <c r="Q405" t="str">
        <f>TEXT(Table1[[#This Row],[Order Date]],"mm")</f>
        <v>07</v>
      </c>
      <c r="R405" s="2">
        <f>Table1[[#This Row],[Profit]]/Table1[[#This Row],[Sales]]</f>
        <v>0.19020822825852007</v>
      </c>
      <c r="S405" t="str">
        <f t="shared" si="6"/>
        <v>Low (1-10%)</v>
      </c>
    </row>
    <row r="406" spans="1:19" x14ac:dyDescent="0.2">
      <c r="A406" t="s">
        <v>979</v>
      </c>
      <c r="B406" s="3" t="s">
        <v>980</v>
      </c>
      <c r="C406" t="s">
        <v>556</v>
      </c>
      <c r="D406" t="s">
        <v>137</v>
      </c>
      <c r="E406" t="s">
        <v>160</v>
      </c>
      <c r="F406" t="s">
        <v>55</v>
      </c>
      <c r="G406" t="s">
        <v>74</v>
      </c>
      <c r="H406" t="s">
        <v>272</v>
      </c>
      <c r="I406" s="4">
        <v>2789.7</v>
      </c>
      <c r="J406">
        <v>3</v>
      </c>
      <c r="K406" s="2">
        <v>0.05</v>
      </c>
      <c r="L406" s="4">
        <v>1084.24</v>
      </c>
      <c r="M406" t="s">
        <v>31</v>
      </c>
      <c r="N406" t="s">
        <v>32</v>
      </c>
      <c r="O406">
        <f>YEAR(Table1[[#This Row],[Order Date]])</f>
        <v>2024</v>
      </c>
      <c r="P406" t="str">
        <f>TEXT(Table1[[#This Row],[Order Date]],"mmmm")</f>
        <v>September</v>
      </c>
      <c r="Q406" t="str">
        <f>TEXT(Table1[[#This Row],[Order Date]],"mm")</f>
        <v>09</v>
      </c>
      <c r="R406" s="2">
        <f>Table1[[#This Row],[Profit]]/Table1[[#This Row],[Sales]]</f>
        <v>0.38865827866795716</v>
      </c>
      <c r="S406" t="str">
        <f t="shared" si="6"/>
        <v>Low (1-10%)</v>
      </c>
    </row>
    <row r="407" spans="1:19" x14ac:dyDescent="0.2">
      <c r="A407" t="s">
        <v>981</v>
      </c>
      <c r="B407" s="3" t="s">
        <v>291</v>
      </c>
      <c r="C407" t="s">
        <v>652</v>
      </c>
      <c r="D407" t="s">
        <v>137</v>
      </c>
      <c r="E407" t="s">
        <v>242</v>
      </c>
      <c r="F407" t="s">
        <v>19</v>
      </c>
      <c r="G407" t="s">
        <v>36</v>
      </c>
      <c r="H407" t="s">
        <v>222</v>
      </c>
      <c r="I407" s="4">
        <v>1766.78</v>
      </c>
      <c r="J407">
        <v>2</v>
      </c>
      <c r="K407" s="2">
        <v>0.2</v>
      </c>
      <c r="L407" s="4">
        <v>400.92</v>
      </c>
      <c r="M407" t="s">
        <v>31</v>
      </c>
      <c r="N407" t="s">
        <v>76</v>
      </c>
      <c r="O407">
        <f>YEAR(Table1[[#This Row],[Order Date]])</f>
        <v>2024</v>
      </c>
      <c r="P407" t="str">
        <f>TEXT(Table1[[#This Row],[Order Date]],"mmmm")</f>
        <v>December</v>
      </c>
      <c r="Q407" t="str">
        <f>TEXT(Table1[[#This Row],[Order Date]],"mm")</f>
        <v>12</v>
      </c>
      <c r="R407" s="2">
        <f>Table1[[#This Row],[Profit]]/Table1[[#This Row],[Sales]]</f>
        <v>0.22692129184165546</v>
      </c>
      <c r="S407" t="str">
        <f t="shared" si="6"/>
        <v>Medium (11-20%)</v>
      </c>
    </row>
    <row r="408" spans="1:19" x14ac:dyDescent="0.2">
      <c r="A408" t="s">
        <v>982</v>
      </c>
      <c r="B408" s="3" t="s">
        <v>983</v>
      </c>
      <c r="C408" t="s">
        <v>548</v>
      </c>
      <c r="D408" t="s">
        <v>137</v>
      </c>
      <c r="E408" t="s">
        <v>242</v>
      </c>
      <c r="F408" t="s">
        <v>67</v>
      </c>
      <c r="G408" t="s">
        <v>115</v>
      </c>
      <c r="H408" t="s">
        <v>116</v>
      </c>
      <c r="I408" s="4">
        <v>452.67</v>
      </c>
      <c r="J408">
        <v>3</v>
      </c>
      <c r="K408" s="2">
        <v>0.2</v>
      </c>
      <c r="L408" s="4">
        <v>-36.07</v>
      </c>
      <c r="M408" t="s">
        <v>87</v>
      </c>
      <c r="N408" t="s">
        <v>23</v>
      </c>
      <c r="O408">
        <f>YEAR(Table1[[#This Row],[Order Date]])</f>
        <v>2024</v>
      </c>
      <c r="P408" t="str">
        <f>TEXT(Table1[[#This Row],[Order Date]],"mmmm")</f>
        <v>July</v>
      </c>
      <c r="Q408" t="str">
        <f>TEXT(Table1[[#This Row],[Order Date]],"mm")</f>
        <v>07</v>
      </c>
      <c r="R408" s="2">
        <f>Table1[[#This Row],[Profit]]/Table1[[#This Row],[Sales]]</f>
        <v>-7.968277111361477E-2</v>
      </c>
      <c r="S408" t="str">
        <f t="shared" si="6"/>
        <v>Medium (11-20%)</v>
      </c>
    </row>
    <row r="409" spans="1:19" x14ac:dyDescent="0.2">
      <c r="A409" t="s">
        <v>984</v>
      </c>
      <c r="B409" s="3" t="s">
        <v>985</v>
      </c>
      <c r="C409" t="s">
        <v>498</v>
      </c>
      <c r="D409" t="s">
        <v>137</v>
      </c>
      <c r="E409" t="s">
        <v>242</v>
      </c>
      <c r="F409" t="s">
        <v>19</v>
      </c>
      <c r="G409" t="s">
        <v>36</v>
      </c>
      <c r="H409" t="s">
        <v>222</v>
      </c>
      <c r="I409" s="4">
        <v>4280.8999999999996</v>
      </c>
      <c r="J409">
        <v>5</v>
      </c>
      <c r="K409" s="2">
        <v>0.2</v>
      </c>
      <c r="L409" s="4">
        <v>-253.87</v>
      </c>
      <c r="M409" t="s">
        <v>44</v>
      </c>
      <c r="N409" t="s">
        <v>39</v>
      </c>
      <c r="O409">
        <f>YEAR(Table1[[#This Row],[Order Date]])</f>
        <v>2025</v>
      </c>
      <c r="P409" t="str">
        <f>TEXT(Table1[[#This Row],[Order Date]],"mmmm")</f>
        <v>March</v>
      </c>
      <c r="Q409" t="str">
        <f>TEXT(Table1[[#This Row],[Order Date]],"mm")</f>
        <v>03</v>
      </c>
      <c r="R409" s="2">
        <f>Table1[[#This Row],[Profit]]/Table1[[#This Row],[Sales]]</f>
        <v>-5.9302950314186274E-2</v>
      </c>
      <c r="S409" t="str">
        <f t="shared" si="6"/>
        <v>Medium (11-20%)</v>
      </c>
    </row>
    <row r="410" spans="1:19" x14ac:dyDescent="0.2">
      <c r="A410" t="s">
        <v>986</v>
      </c>
      <c r="B410" s="3" t="s">
        <v>987</v>
      </c>
      <c r="C410" t="s">
        <v>571</v>
      </c>
      <c r="D410" t="s">
        <v>137</v>
      </c>
      <c r="E410" t="s">
        <v>138</v>
      </c>
      <c r="F410" t="s">
        <v>19</v>
      </c>
      <c r="G410" t="s">
        <v>29</v>
      </c>
      <c r="H410" t="s">
        <v>50</v>
      </c>
      <c r="I410" s="4">
        <v>2076.1999999999998</v>
      </c>
      <c r="J410">
        <v>5</v>
      </c>
      <c r="K410" s="2">
        <v>0.15</v>
      </c>
      <c r="L410" s="4">
        <v>-31.49</v>
      </c>
      <c r="M410" t="s">
        <v>117</v>
      </c>
      <c r="N410" t="s">
        <v>32</v>
      </c>
      <c r="O410">
        <f>YEAR(Table1[[#This Row],[Order Date]])</f>
        <v>2025</v>
      </c>
      <c r="P410" t="str">
        <f>TEXT(Table1[[#This Row],[Order Date]],"mmmm")</f>
        <v>April</v>
      </c>
      <c r="Q410" t="str">
        <f>TEXT(Table1[[#This Row],[Order Date]],"mm")</f>
        <v>04</v>
      </c>
      <c r="R410" s="2">
        <f>Table1[[#This Row],[Profit]]/Table1[[#This Row],[Sales]]</f>
        <v>-1.516713226086119E-2</v>
      </c>
      <c r="S410" t="str">
        <f t="shared" si="6"/>
        <v>Medium (11-20%)</v>
      </c>
    </row>
    <row r="411" spans="1:19" x14ac:dyDescent="0.2">
      <c r="A411" t="s">
        <v>988</v>
      </c>
      <c r="B411" s="3" t="s">
        <v>989</v>
      </c>
      <c r="C411" t="s">
        <v>733</v>
      </c>
      <c r="D411" t="s">
        <v>17</v>
      </c>
      <c r="E411" t="s">
        <v>54</v>
      </c>
      <c r="F411" t="s">
        <v>67</v>
      </c>
      <c r="G411" t="s">
        <v>68</v>
      </c>
      <c r="H411" t="s">
        <v>382</v>
      </c>
      <c r="I411" s="4">
        <v>42.26</v>
      </c>
      <c r="J411">
        <v>1</v>
      </c>
      <c r="K411" s="2">
        <v>0.2</v>
      </c>
      <c r="L411" s="4">
        <v>4.16</v>
      </c>
      <c r="M411" t="s">
        <v>44</v>
      </c>
      <c r="N411" t="s">
        <v>76</v>
      </c>
      <c r="O411">
        <f>YEAR(Table1[[#This Row],[Order Date]])</f>
        <v>2024</v>
      </c>
      <c r="P411" t="str">
        <f>TEXT(Table1[[#This Row],[Order Date]],"mmmm")</f>
        <v>August</v>
      </c>
      <c r="Q411" t="str">
        <f>TEXT(Table1[[#This Row],[Order Date]],"mm")</f>
        <v>08</v>
      </c>
      <c r="R411" s="2">
        <f>Table1[[#This Row],[Profit]]/Table1[[#This Row],[Sales]]</f>
        <v>9.8438239469947952E-2</v>
      </c>
      <c r="S411" t="str">
        <f t="shared" si="6"/>
        <v>Medium (11-20%)</v>
      </c>
    </row>
    <row r="412" spans="1:19" x14ac:dyDescent="0.2">
      <c r="A412" t="s">
        <v>990</v>
      </c>
      <c r="B412" s="3" t="s">
        <v>908</v>
      </c>
      <c r="C412" t="s">
        <v>72</v>
      </c>
      <c r="D412" t="s">
        <v>17</v>
      </c>
      <c r="E412" t="s">
        <v>18</v>
      </c>
      <c r="F412" t="s">
        <v>55</v>
      </c>
      <c r="G412" t="s">
        <v>74</v>
      </c>
      <c r="H412" t="s">
        <v>272</v>
      </c>
      <c r="I412" s="4">
        <v>3026.55</v>
      </c>
      <c r="J412">
        <v>5</v>
      </c>
      <c r="K412" s="2">
        <v>0.05</v>
      </c>
      <c r="L412" s="4">
        <v>482.88</v>
      </c>
      <c r="M412" t="s">
        <v>107</v>
      </c>
      <c r="N412" t="s">
        <v>23</v>
      </c>
      <c r="O412">
        <f>YEAR(Table1[[#This Row],[Order Date]])</f>
        <v>2025</v>
      </c>
      <c r="P412" t="str">
        <f>TEXT(Table1[[#This Row],[Order Date]],"mmmm")</f>
        <v>June</v>
      </c>
      <c r="Q412" t="str">
        <f>TEXT(Table1[[#This Row],[Order Date]],"mm")</f>
        <v>06</v>
      </c>
      <c r="R412" s="2">
        <f>Table1[[#This Row],[Profit]]/Table1[[#This Row],[Sales]]</f>
        <v>0.15954800019824553</v>
      </c>
      <c r="S412" t="str">
        <f t="shared" si="6"/>
        <v>Low (1-10%)</v>
      </c>
    </row>
    <row r="413" spans="1:19" x14ac:dyDescent="0.2">
      <c r="A413" t="s">
        <v>991</v>
      </c>
      <c r="B413" s="3" t="s">
        <v>828</v>
      </c>
      <c r="C413" t="s">
        <v>90</v>
      </c>
      <c r="D413" t="s">
        <v>48</v>
      </c>
      <c r="E413" t="s">
        <v>49</v>
      </c>
      <c r="F413" t="s">
        <v>19</v>
      </c>
      <c r="G413" t="s">
        <v>29</v>
      </c>
      <c r="H413" t="s">
        <v>30</v>
      </c>
      <c r="I413" s="4">
        <v>8243.84</v>
      </c>
      <c r="J413">
        <v>8</v>
      </c>
      <c r="K413" s="2">
        <v>0.3</v>
      </c>
      <c r="L413" s="4">
        <v>-43.28</v>
      </c>
      <c r="M413" t="s">
        <v>22</v>
      </c>
      <c r="N413" t="s">
        <v>32</v>
      </c>
      <c r="O413">
        <f>YEAR(Table1[[#This Row],[Order Date]])</f>
        <v>2024</v>
      </c>
      <c r="P413" t="str">
        <f>TEXT(Table1[[#This Row],[Order Date]],"mmmm")</f>
        <v>August</v>
      </c>
      <c r="Q413" t="str">
        <f>TEXT(Table1[[#This Row],[Order Date]],"mm")</f>
        <v>08</v>
      </c>
      <c r="R413" s="2">
        <f>Table1[[#This Row],[Profit]]/Table1[[#This Row],[Sales]]</f>
        <v>-5.2499805915689774E-3</v>
      </c>
      <c r="S413" t="str">
        <f t="shared" si="6"/>
        <v>High (21-30%)</v>
      </c>
    </row>
    <row r="414" spans="1:19" x14ac:dyDescent="0.2">
      <c r="A414" t="s">
        <v>992</v>
      </c>
      <c r="B414" s="3" t="s">
        <v>993</v>
      </c>
      <c r="C414" t="s">
        <v>994</v>
      </c>
      <c r="D414" t="s">
        <v>17</v>
      </c>
      <c r="E414" t="s">
        <v>54</v>
      </c>
      <c r="F414" t="s">
        <v>55</v>
      </c>
      <c r="G414" t="s">
        <v>74</v>
      </c>
      <c r="H414" t="s">
        <v>133</v>
      </c>
      <c r="I414" s="4">
        <v>3262.12</v>
      </c>
      <c r="J414">
        <v>4</v>
      </c>
      <c r="K414" s="2">
        <v>0.25</v>
      </c>
      <c r="L414" s="4">
        <v>322.81</v>
      </c>
      <c r="M414" t="s">
        <v>22</v>
      </c>
      <c r="N414" t="s">
        <v>76</v>
      </c>
      <c r="O414">
        <f>YEAR(Table1[[#This Row],[Order Date]])</f>
        <v>2024</v>
      </c>
      <c r="P414" t="str">
        <f>TEXT(Table1[[#This Row],[Order Date]],"mmmm")</f>
        <v>December</v>
      </c>
      <c r="Q414" t="str">
        <f>TEXT(Table1[[#This Row],[Order Date]],"mm")</f>
        <v>12</v>
      </c>
      <c r="R414" s="2">
        <f>Table1[[#This Row],[Profit]]/Table1[[#This Row],[Sales]]</f>
        <v>9.895711990975195E-2</v>
      </c>
      <c r="S414" t="str">
        <f t="shared" si="6"/>
        <v>High (21-30%)</v>
      </c>
    </row>
    <row r="415" spans="1:19" x14ac:dyDescent="0.2">
      <c r="A415" t="s">
        <v>995</v>
      </c>
      <c r="B415" s="3" t="s">
        <v>996</v>
      </c>
      <c r="C415" t="s">
        <v>324</v>
      </c>
      <c r="D415" t="s">
        <v>17</v>
      </c>
      <c r="E415" t="s">
        <v>18</v>
      </c>
      <c r="F415" t="s">
        <v>55</v>
      </c>
      <c r="G415" t="s">
        <v>74</v>
      </c>
      <c r="H415" t="s">
        <v>75</v>
      </c>
      <c r="I415" s="4">
        <v>752.89</v>
      </c>
      <c r="J415">
        <v>1</v>
      </c>
      <c r="K415" s="2">
        <v>0.25</v>
      </c>
      <c r="L415" s="4">
        <v>-149.37</v>
      </c>
      <c r="M415" t="s">
        <v>22</v>
      </c>
      <c r="N415" t="s">
        <v>23</v>
      </c>
      <c r="O415">
        <f>YEAR(Table1[[#This Row],[Order Date]])</f>
        <v>2025</v>
      </c>
      <c r="P415" t="str">
        <f>TEXT(Table1[[#This Row],[Order Date]],"mmmm")</f>
        <v>July</v>
      </c>
      <c r="Q415" t="str">
        <f>TEXT(Table1[[#This Row],[Order Date]],"mm")</f>
        <v>07</v>
      </c>
      <c r="R415" s="2">
        <f>Table1[[#This Row],[Profit]]/Table1[[#This Row],[Sales]]</f>
        <v>-0.19839551594522442</v>
      </c>
      <c r="S415" t="str">
        <f t="shared" si="6"/>
        <v>High (21-30%)</v>
      </c>
    </row>
    <row r="416" spans="1:19" x14ac:dyDescent="0.2">
      <c r="A416" t="s">
        <v>997</v>
      </c>
      <c r="B416" s="3" t="s">
        <v>998</v>
      </c>
      <c r="C416" t="s">
        <v>311</v>
      </c>
      <c r="D416" t="s">
        <v>27</v>
      </c>
      <c r="E416" t="s">
        <v>43</v>
      </c>
      <c r="F416" t="s">
        <v>55</v>
      </c>
      <c r="G416" t="s">
        <v>74</v>
      </c>
      <c r="H416" t="s">
        <v>272</v>
      </c>
      <c r="I416" s="4">
        <v>508.69</v>
      </c>
      <c r="J416">
        <v>1</v>
      </c>
      <c r="K416" s="2">
        <v>0.3</v>
      </c>
      <c r="L416" s="4">
        <v>74.569999999999993</v>
      </c>
      <c r="M416" t="s">
        <v>107</v>
      </c>
      <c r="N416" t="s">
        <v>39</v>
      </c>
      <c r="O416">
        <f>YEAR(Table1[[#This Row],[Order Date]])</f>
        <v>2025</v>
      </c>
      <c r="P416" t="str">
        <f>TEXT(Table1[[#This Row],[Order Date]],"mmmm")</f>
        <v>August</v>
      </c>
      <c r="Q416" t="str">
        <f>TEXT(Table1[[#This Row],[Order Date]],"mm")</f>
        <v>08</v>
      </c>
      <c r="R416" s="2">
        <f>Table1[[#This Row],[Profit]]/Table1[[#This Row],[Sales]]</f>
        <v>0.14659222709312153</v>
      </c>
      <c r="S416" t="str">
        <f t="shared" si="6"/>
        <v>High (21-30%)</v>
      </c>
    </row>
    <row r="417" spans="1:19" x14ac:dyDescent="0.2">
      <c r="A417" t="s">
        <v>999</v>
      </c>
      <c r="B417" s="3" t="s">
        <v>1000</v>
      </c>
      <c r="C417" t="s">
        <v>302</v>
      </c>
      <c r="D417" t="s">
        <v>27</v>
      </c>
      <c r="E417" t="s">
        <v>43</v>
      </c>
      <c r="F417" t="s">
        <v>19</v>
      </c>
      <c r="G417" t="s">
        <v>20</v>
      </c>
      <c r="H417" t="s">
        <v>21</v>
      </c>
      <c r="I417" s="4">
        <v>4004.96</v>
      </c>
      <c r="J417">
        <v>4</v>
      </c>
      <c r="K417" s="2">
        <v>0.15</v>
      </c>
      <c r="L417" s="4">
        <v>1040.3800000000001</v>
      </c>
      <c r="M417" t="s">
        <v>22</v>
      </c>
      <c r="N417" t="s">
        <v>76</v>
      </c>
      <c r="O417">
        <f>YEAR(Table1[[#This Row],[Order Date]])</f>
        <v>2025</v>
      </c>
      <c r="P417" t="str">
        <f>TEXT(Table1[[#This Row],[Order Date]],"mmmm")</f>
        <v>December</v>
      </c>
      <c r="Q417" t="str">
        <f>TEXT(Table1[[#This Row],[Order Date]],"mm")</f>
        <v>12</v>
      </c>
      <c r="R417" s="2">
        <f>Table1[[#This Row],[Profit]]/Table1[[#This Row],[Sales]]</f>
        <v>0.2597728816267828</v>
      </c>
      <c r="S417" t="str">
        <f t="shared" si="6"/>
        <v>Medium (11-20%)</v>
      </c>
    </row>
    <row r="418" spans="1:19" x14ac:dyDescent="0.2">
      <c r="A418" t="s">
        <v>1001</v>
      </c>
      <c r="B418" s="3" t="s">
        <v>89</v>
      </c>
      <c r="C418" t="s">
        <v>749</v>
      </c>
      <c r="D418" t="s">
        <v>137</v>
      </c>
      <c r="E418" t="s">
        <v>242</v>
      </c>
      <c r="F418" t="s">
        <v>19</v>
      </c>
      <c r="G418" t="s">
        <v>36</v>
      </c>
      <c r="H418" t="s">
        <v>37</v>
      </c>
      <c r="I418" s="4">
        <v>902.06</v>
      </c>
      <c r="J418">
        <v>1</v>
      </c>
      <c r="K418" s="2">
        <v>0.2</v>
      </c>
      <c r="L418" s="4">
        <v>123.53</v>
      </c>
      <c r="M418" t="s">
        <v>22</v>
      </c>
      <c r="N418" t="s">
        <v>23</v>
      </c>
      <c r="O418">
        <f>YEAR(Table1[[#This Row],[Order Date]])</f>
        <v>2024</v>
      </c>
      <c r="P418" t="str">
        <f>TEXT(Table1[[#This Row],[Order Date]],"mmmm")</f>
        <v>May</v>
      </c>
      <c r="Q418" t="str">
        <f>TEXT(Table1[[#This Row],[Order Date]],"mm")</f>
        <v>05</v>
      </c>
      <c r="R418" s="2">
        <f>Table1[[#This Row],[Profit]]/Table1[[#This Row],[Sales]]</f>
        <v>0.13694211028091258</v>
      </c>
      <c r="S418" t="str">
        <f t="shared" si="6"/>
        <v>Medium (11-20%)</v>
      </c>
    </row>
    <row r="419" spans="1:19" x14ac:dyDescent="0.2">
      <c r="A419" t="s">
        <v>1002</v>
      </c>
      <c r="B419" s="3" t="s">
        <v>570</v>
      </c>
      <c r="C419" t="s">
        <v>841</v>
      </c>
      <c r="D419" t="s">
        <v>48</v>
      </c>
      <c r="E419" t="s">
        <v>84</v>
      </c>
      <c r="F419" t="s">
        <v>19</v>
      </c>
      <c r="G419" t="s">
        <v>20</v>
      </c>
      <c r="H419" t="s">
        <v>239</v>
      </c>
      <c r="I419" s="4">
        <v>408.2</v>
      </c>
      <c r="J419">
        <v>5</v>
      </c>
      <c r="K419" s="2">
        <v>0.15</v>
      </c>
      <c r="L419" s="4">
        <v>38.76</v>
      </c>
      <c r="M419" t="s">
        <v>107</v>
      </c>
      <c r="N419" t="s">
        <v>32</v>
      </c>
      <c r="O419">
        <f>YEAR(Table1[[#This Row],[Order Date]])</f>
        <v>2025</v>
      </c>
      <c r="P419" t="str">
        <f>TEXT(Table1[[#This Row],[Order Date]],"mmmm")</f>
        <v>March</v>
      </c>
      <c r="Q419" t="str">
        <f>TEXT(Table1[[#This Row],[Order Date]],"mm")</f>
        <v>03</v>
      </c>
      <c r="R419" s="2">
        <f>Table1[[#This Row],[Profit]]/Table1[[#This Row],[Sales]]</f>
        <v>9.4953454189122974E-2</v>
      </c>
      <c r="S419" t="str">
        <f t="shared" si="6"/>
        <v>Medium (11-20%)</v>
      </c>
    </row>
    <row r="420" spans="1:19" x14ac:dyDescent="0.2">
      <c r="A420" t="s">
        <v>1003</v>
      </c>
      <c r="B420" s="3" t="s">
        <v>1004</v>
      </c>
      <c r="C420" t="s">
        <v>136</v>
      </c>
      <c r="D420" t="s">
        <v>17</v>
      </c>
      <c r="E420" t="s">
        <v>54</v>
      </c>
      <c r="F420" t="s">
        <v>19</v>
      </c>
      <c r="G420" t="s">
        <v>36</v>
      </c>
      <c r="H420" t="s">
        <v>111</v>
      </c>
      <c r="I420" s="4">
        <v>3865.2</v>
      </c>
      <c r="J420">
        <v>10</v>
      </c>
      <c r="K420" s="2">
        <v>0.05</v>
      </c>
      <c r="L420" s="4">
        <v>625.72</v>
      </c>
      <c r="M420" t="s">
        <v>44</v>
      </c>
      <c r="N420" t="s">
        <v>76</v>
      </c>
      <c r="O420">
        <f>YEAR(Table1[[#This Row],[Order Date]])</f>
        <v>2025</v>
      </c>
      <c r="P420" t="str">
        <f>TEXT(Table1[[#This Row],[Order Date]],"mmmm")</f>
        <v>March</v>
      </c>
      <c r="Q420" t="str">
        <f>TEXT(Table1[[#This Row],[Order Date]],"mm")</f>
        <v>03</v>
      </c>
      <c r="R420" s="2">
        <f>Table1[[#This Row],[Profit]]/Table1[[#This Row],[Sales]]</f>
        <v>0.16188554279209358</v>
      </c>
      <c r="S420" t="str">
        <f t="shared" si="6"/>
        <v>Low (1-10%)</v>
      </c>
    </row>
    <row r="421" spans="1:19" x14ac:dyDescent="0.2">
      <c r="A421" t="s">
        <v>1005</v>
      </c>
      <c r="B421" s="3" t="s">
        <v>547</v>
      </c>
      <c r="C421" t="s">
        <v>1006</v>
      </c>
      <c r="D421" t="s">
        <v>137</v>
      </c>
      <c r="E421" t="s">
        <v>138</v>
      </c>
      <c r="F421" t="s">
        <v>19</v>
      </c>
      <c r="G421" t="s">
        <v>20</v>
      </c>
      <c r="H421" t="s">
        <v>347</v>
      </c>
      <c r="I421" s="4">
        <v>2394.36</v>
      </c>
      <c r="J421">
        <v>3</v>
      </c>
      <c r="K421" s="2">
        <v>0</v>
      </c>
      <c r="L421" s="4">
        <v>261.64999999999998</v>
      </c>
      <c r="M421" t="s">
        <v>87</v>
      </c>
      <c r="N421" t="s">
        <v>32</v>
      </c>
      <c r="O421">
        <f>YEAR(Table1[[#This Row],[Order Date]])</f>
        <v>2024</v>
      </c>
      <c r="P421" t="str">
        <f>TEXT(Table1[[#This Row],[Order Date]],"mmmm")</f>
        <v>December</v>
      </c>
      <c r="Q421" t="str">
        <f>TEXT(Table1[[#This Row],[Order Date]],"mm")</f>
        <v>12</v>
      </c>
      <c r="R421" s="2">
        <f>Table1[[#This Row],[Profit]]/Table1[[#This Row],[Sales]]</f>
        <v>0.10927763577741023</v>
      </c>
      <c r="S421" t="str">
        <f t="shared" si="6"/>
        <v>No Discount</v>
      </c>
    </row>
    <row r="422" spans="1:19" x14ac:dyDescent="0.2">
      <c r="A422" t="s">
        <v>1007</v>
      </c>
      <c r="B422" s="3" t="s">
        <v>965</v>
      </c>
      <c r="C422" t="s">
        <v>583</v>
      </c>
      <c r="D422" t="s">
        <v>27</v>
      </c>
      <c r="E422" t="s">
        <v>43</v>
      </c>
      <c r="F422" t="s">
        <v>55</v>
      </c>
      <c r="G422" t="s">
        <v>74</v>
      </c>
      <c r="H422" t="s">
        <v>75</v>
      </c>
      <c r="I422" s="4">
        <v>146.54</v>
      </c>
      <c r="J422">
        <v>1</v>
      </c>
      <c r="K422" s="2">
        <v>0.05</v>
      </c>
      <c r="L422" s="4">
        <v>36.44</v>
      </c>
      <c r="M422" t="s">
        <v>143</v>
      </c>
      <c r="N422" t="s">
        <v>39</v>
      </c>
      <c r="O422">
        <f>YEAR(Table1[[#This Row],[Order Date]])</f>
        <v>2025</v>
      </c>
      <c r="P422" t="str">
        <f>TEXT(Table1[[#This Row],[Order Date]],"mmmm")</f>
        <v>November</v>
      </c>
      <c r="Q422" t="str">
        <f>TEXT(Table1[[#This Row],[Order Date]],"mm")</f>
        <v>11</v>
      </c>
      <c r="R422" s="2">
        <f>Table1[[#This Row],[Profit]]/Table1[[#This Row],[Sales]]</f>
        <v>0.24866930530913062</v>
      </c>
      <c r="S422" t="str">
        <f t="shared" si="6"/>
        <v>Low (1-10%)</v>
      </c>
    </row>
    <row r="423" spans="1:19" x14ac:dyDescent="0.2">
      <c r="A423" t="s">
        <v>1008</v>
      </c>
      <c r="B423" s="3" t="s">
        <v>1009</v>
      </c>
      <c r="C423" t="s">
        <v>1010</v>
      </c>
      <c r="D423" t="s">
        <v>137</v>
      </c>
      <c r="E423" t="s">
        <v>242</v>
      </c>
      <c r="F423" t="s">
        <v>67</v>
      </c>
      <c r="G423" t="s">
        <v>68</v>
      </c>
      <c r="H423" t="s">
        <v>382</v>
      </c>
      <c r="I423" s="4">
        <v>5529.66</v>
      </c>
      <c r="J423">
        <v>6</v>
      </c>
      <c r="K423" s="2">
        <v>0.05</v>
      </c>
      <c r="L423" s="4">
        <v>1605.49</v>
      </c>
      <c r="M423" t="s">
        <v>107</v>
      </c>
      <c r="N423" t="s">
        <v>23</v>
      </c>
      <c r="O423">
        <f>YEAR(Table1[[#This Row],[Order Date]])</f>
        <v>2025</v>
      </c>
      <c r="P423" t="str">
        <f>TEXT(Table1[[#This Row],[Order Date]],"mmmm")</f>
        <v>August</v>
      </c>
      <c r="Q423" t="str">
        <f>TEXT(Table1[[#This Row],[Order Date]],"mm")</f>
        <v>08</v>
      </c>
      <c r="R423" s="2">
        <f>Table1[[#This Row],[Profit]]/Table1[[#This Row],[Sales]]</f>
        <v>0.29034153998618362</v>
      </c>
      <c r="S423" t="str">
        <f t="shared" si="6"/>
        <v>Low (1-10%)</v>
      </c>
    </row>
    <row r="424" spans="1:19" x14ac:dyDescent="0.2">
      <c r="A424" t="s">
        <v>1011</v>
      </c>
      <c r="B424" s="3" t="s">
        <v>224</v>
      </c>
      <c r="C424" t="s">
        <v>343</v>
      </c>
      <c r="D424" t="s">
        <v>137</v>
      </c>
      <c r="E424" t="s">
        <v>142</v>
      </c>
      <c r="F424" t="s">
        <v>67</v>
      </c>
      <c r="G424" t="s">
        <v>115</v>
      </c>
      <c r="H424" t="s">
        <v>116</v>
      </c>
      <c r="I424" s="4">
        <v>1571.43</v>
      </c>
      <c r="J424">
        <v>3</v>
      </c>
      <c r="K424" s="2">
        <v>0</v>
      </c>
      <c r="L424" s="4">
        <v>649.99</v>
      </c>
      <c r="M424" t="s">
        <v>63</v>
      </c>
      <c r="N424" t="s">
        <v>76</v>
      </c>
      <c r="O424">
        <f>YEAR(Table1[[#This Row],[Order Date]])</f>
        <v>2025</v>
      </c>
      <c r="P424" t="str">
        <f>TEXT(Table1[[#This Row],[Order Date]],"mmmm")</f>
        <v>May</v>
      </c>
      <c r="Q424" t="str">
        <f>TEXT(Table1[[#This Row],[Order Date]],"mm")</f>
        <v>05</v>
      </c>
      <c r="R424" s="2">
        <f>Table1[[#This Row],[Profit]]/Table1[[#This Row],[Sales]]</f>
        <v>0.41362962397306913</v>
      </c>
      <c r="S424" t="str">
        <f t="shared" si="6"/>
        <v>No Discount</v>
      </c>
    </row>
    <row r="425" spans="1:19" x14ac:dyDescent="0.2">
      <c r="A425" t="s">
        <v>1012</v>
      </c>
      <c r="B425" s="3" t="s">
        <v>1013</v>
      </c>
      <c r="C425" t="s">
        <v>661</v>
      </c>
      <c r="D425" t="s">
        <v>137</v>
      </c>
      <c r="E425" t="s">
        <v>138</v>
      </c>
      <c r="F425" t="s">
        <v>55</v>
      </c>
      <c r="G425" t="s">
        <v>56</v>
      </c>
      <c r="H425" t="s">
        <v>62</v>
      </c>
      <c r="I425" s="4">
        <v>207.7</v>
      </c>
      <c r="J425">
        <v>10</v>
      </c>
      <c r="K425" s="2">
        <v>0</v>
      </c>
      <c r="L425" s="4">
        <v>43.11</v>
      </c>
      <c r="M425" t="s">
        <v>143</v>
      </c>
      <c r="N425" t="s">
        <v>39</v>
      </c>
      <c r="O425">
        <f>YEAR(Table1[[#This Row],[Order Date]])</f>
        <v>2025</v>
      </c>
      <c r="P425" t="str">
        <f>TEXT(Table1[[#This Row],[Order Date]],"mmmm")</f>
        <v>September</v>
      </c>
      <c r="Q425" t="str">
        <f>TEXT(Table1[[#This Row],[Order Date]],"mm")</f>
        <v>09</v>
      </c>
      <c r="R425" s="2">
        <f>Table1[[#This Row],[Profit]]/Table1[[#This Row],[Sales]]</f>
        <v>0.20755897929706307</v>
      </c>
      <c r="S425" t="str">
        <f t="shared" si="6"/>
        <v>No Discount</v>
      </c>
    </row>
    <row r="426" spans="1:19" x14ac:dyDescent="0.2">
      <c r="A426" t="s">
        <v>1014</v>
      </c>
      <c r="B426" s="3" t="s">
        <v>417</v>
      </c>
      <c r="C426" t="s">
        <v>652</v>
      </c>
      <c r="D426" t="s">
        <v>17</v>
      </c>
      <c r="E426" t="s">
        <v>54</v>
      </c>
      <c r="F426" t="s">
        <v>67</v>
      </c>
      <c r="G426" t="s">
        <v>68</v>
      </c>
      <c r="H426" t="s">
        <v>382</v>
      </c>
      <c r="I426" s="4">
        <v>11497.1</v>
      </c>
      <c r="J426">
        <v>10</v>
      </c>
      <c r="K426" s="2">
        <v>0</v>
      </c>
      <c r="L426" s="4">
        <v>1824.67</v>
      </c>
      <c r="M426" t="s">
        <v>107</v>
      </c>
      <c r="N426" t="s">
        <v>23</v>
      </c>
      <c r="O426">
        <f>YEAR(Table1[[#This Row],[Order Date]])</f>
        <v>2024</v>
      </c>
      <c r="P426" t="str">
        <f>TEXT(Table1[[#This Row],[Order Date]],"mmmm")</f>
        <v>March</v>
      </c>
      <c r="Q426" t="str">
        <f>TEXT(Table1[[#This Row],[Order Date]],"mm")</f>
        <v>03</v>
      </c>
      <c r="R426" s="2">
        <f>Table1[[#This Row],[Profit]]/Table1[[#This Row],[Sales]]</f>
        <v>0.15870697828147967</v>
      </c>
      <c r="S426" t="str">
        <f t="shared" si="6"/>
        <v>No Discount</v>
      </c>
    </row>
    <row r="427" spans="1:19" x14ac:dyDescent="0.2">
      <c r="A427" t="s">
        <v>1015</v>
      </c>
      <c r="B427" s="3" t="s">
        <v>562</v>
      </c>
      <c r="C427" t="s">
        <v>256</v>
      </c>
      <c r="D427" t="s">
        <v>137</v>
      </c>
      <c r="E427" t="s">
        <v>242</v>
      </c>
      <c r="F427" t="s">
        <v>67</v>
      </c>
      <c r="G427" t="s">
        <v>68</v>
      </c>
      <c r="H427" t="s">
        <v>103</v>
      </c>
      <c r="I427" s="4">
        <v>507.81</v>
      </c>
      <c r="J427">
        <v>3</v>
      </c>
      <c r="K427" s="2">
        <v>0.25</v>
      </c>
      <c r="L427" s="4">
        <v>52.99</v>
      </c>
      <c r="M427" t="s">
        <v>31</v>
      </c>
      <c r="N427" t="s">
        <v>23</v>
      </c>
      <c r="O427">
        <f>YEAR(Table1[[#This Row],[Order Date]])</f>
        <v>2024</v>
      </c>
      <c r="P427" t="str">
        <f>TEXT(Table1[[#This Row],[Order Date]],"mmmm")</f>
        <v>February</v>
      </c>
      <c r="Q427" t="str">
        <f>TEXT(Table1[[#This Row],[Order Date]],"mm")</f>
        <v>02</v>
      </c>
      <c r="R427" s="2">
        <f>Table1[[#This Row],[Profit]]/Table1[[#This Row],[Sales]]</f>
        <v>0.1043500521848723</v>
      </c>
      <c r="S427" t="str">
        <f t="shared" si="6"/>
        <v>High (21-30%)</v>
      </c>
    </row>
    <row r="428" spans="1:19" x14ac:dyDescent="0.2">
      <c r="A428" t="s">
        <v>1016</v>
      </c>
      <c r="B428" s="3" t="s">
        <v>1017</v>
      </c>
      <c r="C428" t="s">
        <v>1018</v>
      </c>
      <c r="D428" t="s">
        <v>48</v>
      </c>
      <c r="E428" t="s">
        <v>110</v>
      </c>
      <c r="F428" t="s">
        <v>67</v>
      </c>
      <c r="G428" t="s">
        <v>85</v>
      </c>
      <c r="H428" t="s">
        <v>125</v>
      </c>
      <c r="I428" s="4">
        <v>1157.32</v>
      </c>
      <c r="J428">
        <v>2</v>
      </c>
      <c r="K428" s="2">
        <v>0</v>
      </c>
      <c r="L428" s="4">
        <v>466.51</v>
      </c>
      <c r="M428" t="s">
        <v>38</v>
      </c>
      <c r="N428" t="s">
        <v>39</v>
      </c>
      <c r="O428">
        <f>YEAR(Table1[[#This Row],[Order Date]])</f>
        <v>2024</v>
      </c>
      <c r="P428" t="str">
        <f>TEXT(Table1[[#This Row],[Order Date]],"mmmm")</f>
        <v>April</v>
      </c>
      <c r="Q428" t="str">
        <f>TEXT(Table1[[#This Row],[Order Date]],"mm")</f>
        <v>04</v>
      </c>
      <c r="R428" s="2">
        <f>Table1[[#This Row],[Profit]]/Table1[[#This Row],[Sales]]</f>
        <v>0.40309508174057307</v>
      </c>
      <c r="S428" t="str">
        <f t="shared" si="6"/>
        <v>No Discount</v>
      </c>
    </row>
    <row r="429" spans="1:19" x14ac:dyDescent="0.2">
      <c r="A429" t="s">
        <v>1019</v>
      </c>
      <c r="B429" s="3" t="s">
        <v>598</v>
      </c>
      <c r="C429" t="s">
        <v>42</v>
      </c>
      <c r="D429" t="s">
        <v>27</v>
      </c>
      <c r="E429" t="s">
        <v>28</v>
      </c>
      <c r="F429" t="s">
        <v>19</v>
      </c>
      <c r="G429" t="s">
        <v>29</v>
      </c>
      <c r="H429" t="s">
        <v>199</v>
      </c>
      <c r="I429" s="4">
        <v>3190.4</v>
      </c>
      <c r="J429">
        <v>10</v>
      </c>
      <c r="K429" s="2">
        <v>0.1</v>
      </c>
      <c r="L429" s="4">
        <v>736.8</v>
      </c>
      <c r="M429" t="s">
        <v>117</v>
      </c>
      <c r="N429" t="s">
        <v>32</v>
      </c>
      <c r="O429">
        <f>YEAR(Table1[[#This Row],[Order Date]])</f>
        <v>2025</v>
      </c>
      <c r="P429" t="str">
        <f>TEXT(Table1[[#This Row],[Order Date]],"mmmm")</f>
        <v>September</v>
      </c>
      <c r="Q429" t="str">
        <f>TEXT(Table1[[#This Row],[Order Date]],"mm")</f>
        <v>09</v>
      </c>
      <c r="R429" s="2">
        <f>Table1[[#This Row],[Profit]]/Table1[[#This Row],[Sales]]</f>
        <v>0.23094282848545636</v>
      </c>
      <c r="S429" t="str">
        <f t="shared" si="6"/>
        <v>Low (1-10%)</v>
      </c>
    </row>
    <row r="430" spans="1:19" x14ac:dyDescent="0.2">
      <c r="A430" t="s">
        <v>1020</v>
      </c>
      <c r="B430" s="3" t="s">
        <v>277</v>
      </c>
      <c r="C430" t="s">
        <v>1021</v>
      </c>
      <c r="D430" t="s">
        <v>48</v>
      </c>
      <c r="E430" t="s">
        <v>110</v>
      </c>
      <c r="F430" t="s">
        <v>67</v>
      </c>
      <c r="G430" t="s">
        <v>115</v>
      </c>
      <c r="H430" t="s">
        <v>116</v>
      </c>
      <c r="I430" s="4">
        <v>1805.22</v>
      </c>
      <c r="J430">
        <v>6</v>
      </c>
      <c r="K430" s="2">
        <v>0</v>
      </c>
      <c r="L430" s="4">
        <v>175.7</v>
      </c>
      <c r="M430" t="s">
        <v>22</v>
      </c>
      <c r="N430" t="s">
        <v>39</v>
      </c>
      <c r="O430">
        <f>YEAR(Table1[[#This Row],[Order Date]])</f>
        <v>2025</v>
      </c>
      <c r="P430" t="str">
        <f>TEXT(Table1[[#This Row],[Order Date]],"mmmm")</f>
        <v>December</v>
      </c>
      <c r="Q430" t="str">
        <f>TEXT(Table1[[#This Row],[Order Date]],"mm")</f>
        <v>12</v>
      </c>
      <c r="R430" s="2">
        <f>Table1[[#This Row],[Profit]]/Table1[[#This Row],[Sales]]</f>
        <v>9.732885742457982E-2</v>
      </c>
      <c r="S430" t="str">
        <f t="shared" si="6"/>
        <v>No Discount</v>
      </c>
    </row>
    <row r="431" spans="1:19" x14ac:dyDescent="0.2">
      <c r="A431" t="s">
        <v>1022</v>
      </c>
      <c r="B431" s="3" t="s">
        <v>902</v>
      </c>
      <c r="C431" t="s">
        <v>275</v>
      </c>
      <c r="D431" t="s">
        <v>48</v>
      </c>
      <c r="E431" t="s">
        <v>84</v>
      </c>
      <c r="F431" t="s">
        <v>19</v>
      </c>
      <c r="G431" t="s">
        <v>20</v>
      </c>
      <c r="H431" t="s">
        <v>347</v>
      </c>
      <c r="I431" s="4">
        <v>10047.69</v>
      </c>
      <c r="J431">
        <v>9</v>
      </c>
      <c r="K431" s="2">
        <v>0.3</v>
      </c>
      <c r="L431" s="4">
        <v>844.44</v>
      </c>
      <c r="M431" t="s">
        <v>117</v>
      </c>
      <c r="N431" t="s">
        <v>76</v>
      </c>
      <c r="O431">
        <f>YEAR(Table1[[#This Row],[Order Date]])</f>
        <v>2025</v>
      </c>
      <c r="P431" t="str">
        <f>TEXT(Table1[[#This Row],[Order Date]],"mmmm")</f>
        <v>June</v>
      </c>
      <c r="Q431" t="str">
        <f>TEXT(Table1[[#This Row],[Order Date]],"mm")</f>
        <v>06</v>
      </c>
      <c r="R431" s="2">
        <f>Table1[[#This Row],[Profit]]/Table1[[#This Row],[Sales]]</f>
        <v>8.4043197988791452E-2</v>
      </c>
      <c r="S431" t="str">
        <f t="shared" si="6"/>
        <v>High (21-30%)</v>
      </c>
    </row>
    <row r="432" spans="1:19" x14ac:dyDescent="0.2">
      <c r="A432" t="s">
        <v>1023</v>
      </c>
      <c r="B432" s="3" t="s">
        <v>1024</v>
      </c>
      <c r="C432" t="s">
        <v>163</v>
      </c>
      <c r="D432" t="s">
        <v>17</v>
      </c>
      <c r="E432" t="s">
        <v>54</v>
      </c>
      <c r="F432" t="s">
        <v>67</v>
      </c>
      <c r="G432" t="s">
        <v>85</v>
      </c>
      <c r="H432" t="s">
        <v>86</v>
      </c>
      <c r="I432" s="4">
        <v>1361.52</v>
      </c>
      <c r="J432">
        <v>4</v>
      </c>
      <c r="K432" s="2">
        <v>0.25</v>
      </c>
      <c r="L432" s="4">
        <v>85.72</v>
      </c>
      <c r="M432" t="s">
        <v>195</v>
      </c>
      <c r="N432" t="s">
        <v>76</v>
      </c>
      <c r="O432">
        <f>YEAR(Table1[[#This Row],[Order Date]])</f>
        <v>2025</v>
      </c>
      <c r="P432" t="str">
        <f>TEXT(Table1[[#This Row],[Order Date]],"mmmm")</f>
        <v>October</v>
      </c>
      <c r="Q432" t="str">
        <f>TEXT(Table1[[#This Row],[Order Date]],"mm")</f>
        <v>10</v>
      </c>
      <c r="R432" s="2">
        <f>Table1[[#This Row],[Profit]]/Table1[[#This Row],[Sales]]</f>
        <v>6.295904577237206E-2</v>
      </c>
      <c r="S432" t="str">
        <f t="shared" si="6"/>
        <v>High (21-30%)</v>
      </c>
    </row>
    <row r="433" spans="1:19" x14ac:dyDescent="0.2">
      <c r="A433" t="s">
        <v>1025</v>
      </c>
      <c r="B433" s="3" t="s">
        <v>1026</v>
      </c>
      <c r="C433" t="s">
        <v>530</v>
      </c>
      <c r="D433" t="s">
        <v>137</v>
      </c>
      <c r="E433" t="s">
        <v>160</v>
      </c>
      <c r="F433" t="s">
        <v>55</v>
      </c>
      <c r="G433" t="s">
        <v>74</v>
      </c>
      <c r="H433" t="s">
        <v>272</v>
      </c>
      <c r="I433" s="4">
        <v>126.08</v>
      </c>
      <c r="J433">
        <v>8</v>
      </c>
      <c r="K433" s="2">
        <v>0</v>
      </c>
      <c r="L433" s="4">
        <v>44.9</v>
      </c>
      <c r="M433" t="s">
        <v>63</v>
      </c>
      <c r="N433" t="s">
        <v>32</v>
      </c>
      <c r="O433">
        <f>YEAR(Table1[[#This Row],[Order Date]])</f>
        <v>2024</v>
      </c>
      <c r="P433" t="str">
        <f>TEXT(Table1[[#This Row],[Order Date]],"mmmm")</f>
        <v>April</v>
      </c>
      <c r="Q433" t="str">
        <f>TEXT(Table1[[#This Row],[Order Date]],"mm")</f>
        <v>04</v>
      </c>
      <c r="R433" s="2">
        <f>Table1[[#This Row],[Profit]]/Table1[[#This Row],[Sales]]</f>
        <v>0.35612309644670048</v>
      </c>
      <c r="S433" t="str">
        <f t="shared" si="6"/>
        <v>No Discount</v>
      </c>
    </row>
    <row r="434" spans="1:19" x14ac:dyDescent="0.2">
      <c r="A434" t="s">
        <v>1027</v>
      </c>
      <c r="B434" s="3" t="s">
        <v>1028</v>
      </c>
      <c r="C434" t="s">
        <v>601</v>
      </c>
      <c r="D434" t="s">
        <v>48</v>
      </c>
      <c r="E434" t="s">
        <v>110</v>
      </c>
      <c r="F434" t="s">
        <v>67</v>
      </c>
      <c r="G434" t="s">
        <v>68</v>
      </c>
      <c r="H434" t="s">
        <v>382</v>
      </c>
      <c r="I434" s="4">
        <v>2997.76</v>
      </c>
      <c r="J434">
        <v>4</v>
      </c>
      <c r="K434" s="2">
        <v>0</v>
      </c>
      <c r="L434" s="4">
        <v>1220.96</v>
      </c>
      <c r="M434" t="s">
        <v>87</v>
      </c>
      <c r="N434" t="s">
        <v>32</v>
      </c>
      <c r="O434">
        <f>YEAR(Table1[[#This Row],[Order Date]])</f>
        <v>2024</v>
      </c>
      <c r="P434" t="str">
        <f>TEXT(Table1[[#This Row],[Order Date]],"mmmm")</f>
        <v>December</v>
      </c>
      <c r="Q434" t="str">
        <f>TEXT(Table1[[#This Row],[Order Date]],"mm")</f>
        <v>12</v>
      </c>
      <c r="R434" s="2">
        <f>Table1[[#This Row],[Profit]]/Table1[[#This Row],[Sales]]</f>
        <v>0.40729077711357814</v>
      </c>
      <c r="S434" t="str">
        <f t="shared" si="6"/>
        <v>No Discount</v>
      </c>
    </row>
    <row r="435" spans="1:19" x14ac:dyDescent="0.2">
      <c r="A435" t="s">
        <v>1029</v>
      </c>
      <c r="B435" s="3" t="s">
        <v>1030</v>
      </c>
      <c r="C435" t="s">
        <v>473</v>
      </c>
      <c r="D435" t="s">
        <v>137</v>
      </c>
      <c r="E435" t="s">
        <v>138</v>
      </c>
      <c r="F435" t="s">
        <v>19</v>
      </c>
      <c r="G435" t="s">
        <v>36</v>
      </c>
      <c r="H435" t="s">
        <v>222</v>
      </c>
      <c r="I435" s="4">
        <v>63.45</v>
      </c>
      <c r="J435">
        <v>3</v>
      </c>
      <c r="K435" s="2">
        <v>0</v>
      </c>
      <c r="L435" s="4">
        <v>11.62</v>
      </c>
      <c r="M435" t="s">
        <v>44</v>
      </c>
      <c r="N435" t="s">
        <v>23</v>
      </c>
      <c r="O435">
        <f>YEAR(Table1[[#This Row],[Order Date]])</f>
        <v>2024</v>
      </c>
      <c r="P435" t="str">
        <f>TEXT(Table1[[#This Row],[Order Date]],"mmmm")</f>
        <v>January</v>
      </c>
      <c r="Q435" t="str">
        <f>TEXT(Table1[[#This Row],[Order Date]],"mm")</f>
        <v>01</v>
      </c>
      <c r="R435" s="2">
        <f>Table1[[#This Row],[Profit]]/Table1[[#This Row],[Sales]]</f>
        <v>0.18313632781717887</v>
      </c>
      <c r="S435" t="str">
        <f t="shared" si="6"/>
        <v>No Discount</v>
      </c>
    </row>
    <row r="436" spans="1:19" x14ac:dyDescent="0.2">
      <c r="A436" t="s">
        <v>1031</v>
      </c>
      <c r="B436" s="3" t="s">
        <v>790</v>
      </c>
      <c r="C436" t="s">
        <v>235</v>
      </c>
      <c r="D436" t="s">
        <v>27</v>
      </c>
      <c r="E436" t="s">
        <v>43</v>
      </c>
      <c r="F436" t="s">
        <v>67</v>
      </c>
      <c r="G436" t="s">
        <v>68</v>
      </c>
      <c r="H436" t="s">
        <v>382</v>
      </c>
      <c r="I436" s="4">
        <v>1024.6099999999999</v>
      </c>
      <c r="J436">
        <v>1</v>
      </c>
      <c r="K436" s="2">
        <v>0.1</v>
      </c>
      <c r="L436" s="4">
        <v>-12.82</v>
      </c>
      <c r="M436" t="s">
        <v>195</v>
      </c>
      <c r="N436" t="s">
        <v>23</v>
      </c>
      <c r="O436">
        <f>YEAR(Table1[[#This Row],[Order Date]])</f>
        <v>2025</v>
      </c>
      <c r="P436" t="str">
        <f>TEXT(Table1[[#This Row],[Order Date]],"mmmm")</f>
        <v>February</v>
      </c>
      <c r="Q436" t="str">
        <f>TEXT(Table1[[#This Row],[Order Date]],"mm")</f>
        <v>02</v>
      </c>
      <c r="R436" s="2">
        <f>Table1[[#This Row],[Profit]]/Table1[[#This Row],[Sales]]</f>
        <v>-1.2512077766174448E-2</v>
      </c>
      <c r="S436" t="str">
        <f t="shared" si="6"/>
        <v>Low (1-10%)</v>
      </c>
    </row>
    <row r="437" spans="1:19" x14ac:dyDescent="0.2">
      <c r="A437" t="s">
        <v>1032</v>
      </c>
      <c r="B437" s="3" t="s">
        <v>1033</v>
      </c>
      <c r="C437" t="s">
        <v>335</v>
      </c>
      <c r="D437" t="s">
        <v>48</v>
      </c>
      <c r="E437" t="s">
        <v>49</v>
      </c>
      <c r="F437" t="s">
        <v>19</v>
      </c>
      <c r="G437" t="s">
        <v>20</v>
      </c>
      <c r="H437" t="s">
        <v>21</v>
      </c>
      <c r="I437" s="4">
        <v>2362.48</v>
      </c>
      <c r="J437">
        <v>2</v>
      </c>
      <c r="K437" s="2">
        <v>0.25</v>
      </c>
      <c r="L437" s="4">
        <v>418.07</v>
      </c>
      <c r="M437" t="s">
        <v>31</v>
      </c>
      <c r="N437" t="s">
        <v>32</v>
      </c>
      <c r="O437">
        <f>YEAR(Table1[[#This Row],[Order Date]])</f>
        <v>2024</v>
      </c>
      <c r="P437" t="str">
        <f>TEXT(Table1[[#This Row],[Order Date]],"mmmm")</f>
        <v>June</v>
      </c>
      <c r="Q437" t="str">
        <f>TEXT(Table1[[#This Row],[Order Date]],"mm")</f>
        <v>06</v>
      </c>
      <c r="R437" s="2">
        <f>Table1[[#This Row],[Profit]]/Table1[[#This Row],[Sales]]</f>
        <v>0.17696234465476957</v>
      </c>
      <c r="S437" t="str">
        <f t="shared" si="6"/>
        <v>High (21-30%)</v>
      </c>
    </row>
    <row r="438" spans="1:19" x14ac:dyDescent="0.2">
      <c r="A438" t="s">
        <v>1034</v>
      </c>
      <c r="B438" s="3" t="s">
        <v>1035</v>
      </c>
      <c r="C438" t="s">
        <v>183</v>
      </c>
      <c r="D438" t="s">
        <v>27</v>
      </c>
      <c r="E438" t="s">
        <v>124</v>
      </c>
      <c r="F438" t="s">
        <v>55</v>
      </c>
      <c r="G438" t="s">
        <v>98</v>
      </c>
      <c r="H438" t="s">
        <v>154</v>
      </c>
      <c r="I438" s="4">
        <v>9152.64</v>
      </c>
      <c r="J438">
        <v>9</v>
      </c>
      <c r="K438" s="2">
        <v>0.15</v>
      </c>
      <c r="L438" s="4">
        <v>1847.76</v>
      </c>
      <c r="M438" t="s">
        <v>87</v>
      </c>
      <c r="N438" t="s">
        <v>39</v>
      </c>
      <c r="O438">
        <f>YEAR(Table1[[#This Row],[Order Date]])</f>
        <v>2024</v>
      </c>
      <c r="P438" t="str">
        <f>TEXT(Table1[[#This Row],[Order Date]],"mmmm")</f>
        <v>August</v>
      </c>
      <c r="Q438" t="str">
        <f>TEXT(Table1[[#This Row],[Order Date]],"mm")</f>
        <v>08</v>
      </c>
      <c r="R438" s="2">
        <f>Table1[[#This Row],[Profit]]/Table1[[#This Row],[Sales]]</f>
        <v>0.20188273547304386</v>
      </c>
      <c r="S438" t="str">
        <f t="shared" si="6"/>
        <v>Medium (11-20%)</v>
      </c>
    </row>
    <row r="439" spans="1:19" x14ac:dyDescent="0.2">
      <c r="A439" t="s">
        <v>1036</v>
      </c>
      <c r="B439" s="3" t="s">
        <v>280</v>
      </c>
      <c r="C439" t="s">
        <v>797</v>
      </c>
      <c r="D439" t="s">
        <v>137</v>
      </c>
      <c r="E439" t="s">
        <v>160</v>
      </c>
      <c r="F439" t="s">
        <v>67</v>
      </c>
      <c r="G439" t="s">
        <v>85</v>
      </c>
      <c r="H439" t="s">
        <v>86</v>
      </c>
      <c r="I439" s="4">
        <v>4602.1499999999996</v>
      </c>
      <c r="J439">
        <v>5</v>
      </c>
      <c r="K439" s="2">
        <v>0</v>
      </c>
      <c r="L439" s="4">
        <v>310.10000000000002</v>
      </c>
      <c r="M439" t="s">
        <v>143</v>
      </c>
      <c r="N439" t="s">
        <v>76</v>
      </c>
      <c r="O439">
        <f>YEAR(Table1[[#This Row],[Order Date]])</f>
        <v>2024</v>
      </c>
      <c r="P439" t="str">
        <f>TEXT(Table1[[#This Row],[Order Date]],"mmmm")</f>
        <v>May</v>
      </c>
      <c r="Q439" t="str">
        <f>TEXT(Table1[[#This Row],[Order Date]],"mm")</f>
        <v>05</v>
      </c>
      <c r="R439" s="2">
        <f>Table1[[#This Row],[Profit]]/Table1[[#This Row],[Sales]]</f>
        <v>6.7381549927751166E-2</v>
      </c>
      <c r="S439" t="str">
        <f t="shared" si="6"/>
        <v>No Discount</v>
      </c>
    </row>
    <row r="440" spans="1:19" x14ac:dyDescent="0.2">
      <c r="A440" t="s">
        <v>1037</v>
      </c>
      <c r="B440" s="3" t="s">
        <v>479</v>
      </c>
      <c r="C440" t="s">
        <v>66</v>
      </c>
      <c r="D440" t="s">
        <v>137</v>
      </c>
      <c r="E440" t="s">
        <v>142</v>
      </c>
      <c r="F440" t="s">
        <v>19</v>
      </c>
      <c r="G440" t="s">
        <v>36</v>
      </c>
      <c r="H440" t="s">
        <v>111</v>
      </c>
      <c r="I440" s="4">
        <v>6929.34</v>
      </c>
      <c r="J440">
        <v>6</v>
      </c>
      <c r="K440" s="2">
        <v>0.1</v>
      </c>
      <c r="L440" s="4">
        <v>487.61</v>
      </c>
      <c r="M440" t="s">
        <v>117</v>
      </c>
      <c r="N440" t="s">
        <v>32</v>
      </c>
      <c r="O440">
        <f>YEAR(Table1[[#This Row],[Order Date]])</f>
        <v>2024</v>
      </c>
      <c r="P440" t="str">
        <f>TEXT(Table1[[#This Row],[Order Date]],"mmmm")</f>
        <v>February</v>
      </c>
      <c r="Q440" t="str">
        <f>TEXT(Table1[[#This Row],[Order Date]],"mm")</f>
        <v>02</v>
      </c>
      <c r="R440" s="2">
        <f>Table1[[#This Row],[Profit]]/Table1[[#This Row],[Sales]]</f>
        <v>7.0368895161732573E-2</v>
      </c>
      <c r="S440" t="str">
        <f t="shared" si="6"/>
        <v>Low (1-10%)</v>
      </c>
    </row>
    <row r="441" spans="1:19" x14ac:dyDescent="0.2">
      <c r="A441" t="s">
        <v>1038</v>
      </c>
      <c r="B441" s="3" t="s">
        <v>1039</v>
      </c>
      <c r="C441" t="s">
        <v>841</v>
      </c>
      <c r="D441" t="s">
        <v>48</v>
      </c>
      <c r="E441" t="s">
        <v>73</v>
      </c>
      <c r="F441" t="s">
        <v>55</v>
      </c>
      <c r="G441" t="s">
        <v>56</v>
      </c>
      <c r="H441" t="s">
        <v>129</v>
      </c>
      <c r="I441" s="4">
        <v>75.260000000000005</v>
      </c>
      <c r="J441">
        <v>2</v>
      </c>
      <c r="K441" s="2">
        <v>0.3</v>
      </c>
      <c r="L441" s="4">
        <v>5.72</v>
      </c>
      <c r="M441" t="s">
        <v>22</v>
      </c>
      <c r="N441" t="s">
        <v>39</v>
      </c>
      <c r="O441">
        <f>YEAR(Table1[[#This Row],[Order Date]])</f>
        <v>2024</v>
      </c>
      <c r="P441" t="str">
        <f>TEXT(Table1[[#This Row],[Order Date]],"mmmm")</f>
        <v>November</v>
      </c>
      <c r="Q441" t="str">
        <f>TEXT(Table1[[#This Row],[Order Date]],"mm")</f>
        <v>11</v>
      </c>
      <c r="R441" s="2">
        <f>Table1[[#This Row],[Profit]]/Table1[[#This Row],[Sales]]</f>
        <v>7.6003188944990696E-2</v>
      </c>
      <c r="S441" t="str">
        <f t="shared" si="6"/>
        <v>High (21-30%)</v>
      </c>
    </row>
    <row r="442" spans="1:19" x14ac:dyDescent="0.2">
      <c r="A442" t="s">
        <v>1040</v>
      </c>
      <c r="B442" s="3" t="s">
        <v>1041</v>
      </c>
      <c r="C442" t="s">
        <v>249</v>
      </c>
      <c r="D442" t="s">
        <v>27</v>
      </c>
      <c r="E442" t="s">
        <v>124</v>
      </c>
      <c r="F442" t="s">
        <v>67</v>
      </c>
      <c r="G442" t="s">
        <v>85</v>
      </c>
      <c r="H442" t="s">
        <v>253</v>
      </c>
      <c r="I442" s="4">
        <v>1335.36</v>
      </c>
      <c r="J442">
        <v>8</v>
      </c>
      <c r="K442" s="2">
        <v>0.25</v>
      </c>
      <c r="L442" s="4">
        <v>-219.81</v>
      </c>
      <c r="M442" t="s">
        <v>195</v>
      </c>
      <c r="N442" t="s">
        <v>23</v>
      </c>
      <c r="O442">
        <f>YEAR(Table1[[#This Row],[Order Date]])</f>
        <v>2025</v>
      </c>
      <c r="P442" t="str">
        <f>TEXT(Table1[[#This Row],[Order Date]],"mmmm")</f>
        <v>November</v>
      </c>
      <c r="Q442" t="str">
        <f>TEXT(Table1[[#This Row],[Order Date]],"mm")</f>
        <v>11</v>
      </c>
      <c r="R442" s="2">
        <f>Table1[[#This Row],[Profit]]/Table1[[#This Row],[Sales]]</f>
        <v>-0.1646072969086988</v>
      </c>
      <c r="S442" t="str">
        <f t="shared" si="6"/>
        <v>High (21-30%)</v>
      </c>
    </row>
    <row r="443" spans="1:19" x14ac:dyDescent="0.2">
      <c r="A443" t="s">
        <v>1042</v>
      </c>
      <c r="B443" s="3" t="s">
        <v>433</v>
      </c>
      <c r="C443" t="s">
        <v>418</v>
      </c>
      <c r="D443" t="s">
        <v>17</v>
      </c>
      <c r="E443" t="s">
        <v>80</v>
      </c>
      <c r="F443" t="s">
        <v>55</v>
      </c>
      <c r="G443" t="s">
        <v>74</v>
      </c>
      <c r="H443" t="s">
        <v>133</v>
      </c>
      <c r="I443" s="4">
        <v>4524.84</v>
      </c>
      <c r="J443">
        <v>6</v>
      </c>
      <c r="K443" s="2">
        <v>0.1</v>
      </c>
      <c r="L443" s="4">
        <v>1406.57</v>
      </c>
      <c r="M443" t="s">
        <v>143</v>
      </c>
      <c r="N443" t="s">
        <v>23</v>
      </c>
      <c r="O443">
        <f>YEAR(Table1[[#This Row],[Order Date]])</f>
        <v>2024</v>
      </c>
      <c r="P443" t="str">
        <f>TEXT(Table1[[#This Row],[Order Date]],"mmmm")</f>
        <v>June</v>
      </c>
      <c r="Q443" t="str">
        <f>TEXT(Table1[[#This Row],[Order Date]],"mm")</f>
        <v>06</v>
      </c>
      <c r="R443" s="2">
        <f>Table1[[#This Row],[Profit]]/Table1[[#This Row],[Sales]]</f>
        <v>0.31085519045977311</v>
      </c>
      <c r="S443" t="str">
        <f t="shared" si="6"/>
        <v>Low (1-10%)</v>
      </c>
    </row>
    <row r="444" spans="1:19" x14ac:dyDescent="0.2">
      <c r="A444" t="s">
        <v>1043</v>
      </c>
      <c r="B444" s="3" t="s">
        <v>1044</v>
      </c>
      <c r="C444" t="s">
        <v>262</v>
      </c>
      <c r="D444" t="s">
        <v>48</v>
      </c>
      <c r="E444" t="s">
        <v>110</v>
      </c>
      <c r="F444" t="s">
        <v>19</v>
      </c>
      <c r="G444" t="s">
        <v>36</v>
      </c>
      <c r="H444" t="s">
        <v>222</v>
      </c>
      <c r="I444" s="4">
        <v>430.1</v>
      </c>
      <c r="J444">
        <v>5</v>
      </c>
      <c r="K444" s="2">
        <v>0</v>
      </c>
      <c r="L444" s="4">
        <v>67.08</v>
      </c>
      <c r="M444" t="s">
        <v>31</v>
      </c>
      <c r="N444" t="s">
        <v>23</v>
      </c>
      <c r="O444">
        <f>YEAR(Table1[[#This Row],[Order Date]])</f>
        <v>2025</v>
      </c>
      <c r="P444" t="str">
        <f>TEXT(Table1[[#This Row],[Order Date]],"mmmm")</f>
        <v>September</v>
      </c>
      <c r="Q444" t="str">
        <f>TEXT(Table1[[#This Row],[Order Date]],"mm")</f>
        <v>09</v>
      </c>
      <c r="R444" s="2">
        <f>Table1[[#This Row],[Profit]]/Table1[[#This Row],[Sales]]</f>
        <v>0.15596372936526387</v>
      </c>
      <c r="S444" t="str">
        <f t="shared" si="6"/>
        <v>No Discount</v>
      </c>
    </row>
    <row r="445" spans="1:19" x14ac:dyDescent="0.2">
      <c r="A445" t="s">
        <v>1045</v>
      </c>
      <c r="B445" s="3" t="s">
        <v>1046</v>
      </c>
      <c r="C445" t="s">
        <v>169</v>
      </c>
      <c r="D445" t="s">
        <v>137</v>
      </c>
      <c r="E445" t="s">
        <v>160</v>
      </c>
      <c r="F445" t="s">
        <v>67</v>
      </c>
      <c r="G445" t="s">
        <v>68</v>
      </c>
      <c r="H445" t="s">
        <v>103</v>
      </c>
      <c r="I445" s="4">
        <v>1966.5</v>
      </c>
      <c r="J445">
        <v>6</v>
      </c>
      <c r="K445" s="2">
        <v>0</v>
      </c>
      <c r="L445" s="4">
        <v>320.10000000000002</v>
      </c>
      <c r="M445" t="s">
        <v>38</v>
      </c>
      <c r="N445" t="s">
        <v>76</v>
      </c>
      <c r="O445">
        <f>YEAR(Table1[[#This Row],[Order Date]])</f>
        <v>2025</v>
      </c>
      <c r="P445" t="str">
        <f>TEXT(Table1[[#This Row],[Order Date]],"mmmm")</f>
        <v>July</v>
      </c>
      <c r="Q445" t="str">
        <f>TEXT(Table1[[#This Row],[Order Date]],"mm")</f>
        <v>07</v>
      </c>
      <c r="R445" s="2">
        <f>Table1[[#This Row],[Profit]]/Table1[[#This Row],[Sales]]</f>
        <v>0.16277650648360031</v>
      </c>
      <c r="S445" t="str">
        <f t="shared" si="6"/>
        <v>No Discount</v>
      </c>
    </row>
    <row r="446" spans="1:19" x14ac:dyDescent="0.2">
      <c r="A446" t="s">
        <v>1047</v>
      </c>
      <c r="B446" s="3" t="s">
        <v>1048</v>
      </c>
      <c r="C446" t="s">
        <v>608</v>
      </c>
      <c r="D446" t="s">
        <v>27</v>
      </c>
      <c r="E446" t="s">
        <v>43</v>
      </c>
      <c r="F446" t="s">
        <v>55</v>
      </c>
      <c r="G446" t="s">
        <v>74</v>
      </c>
      <c r="H446" t="s">
        <v>75</v>
      </c>
      <c r="I446" s="4">
        <v>1505.16</v>
      </c>
      <c r="J446">
        <v>3</v>
      </c>
      <c r="K446" s="2">
        <v>0.25</v>
      </c>
      <c r="L446" s="4">
        <v>193.35</v>
      </c>
      <c r="M446" t="s">
        <v>87</v>
      </c>
      <c r="N446" t="s">
        <v>32</v>
      </c>
      <c r="O446">
        <f>YEAR(Table1[[#This Row],[Order Date]])</f>
        <v>2024</v>
      </c>
      <c r="P446" t="str">
        <f>TEXT(Table1[[#This Row],[Order Date]],"mmmm")</f>
        <v>February</v>
      </c>
      <c r="Q446" t="str">
        <f>TEXT(Table1[[#This Row],[Order Date]],"mm")</f>
        <v>02</v>
      </c>
      <c r="R446" s="2">
        <f>Table1[[#This Row],[Profit]]/Table1[[#This Row],[Sales]]</f>
        <v>0.12845810412182093</v>
      </c>
      <c r="S446" t="str">
        <f t="shared" si="6"/>
        <v>High (21-30%)</v>
      </c>
    </row>
    <row r="447" spans="1:19" x14ac:dyDescent="0.2">
      <c r="A447" t="s">
        <v>1049</v>
      </c>
      <c r="B447" s="3" t="s">
        <v>610</v>
      </c>
      <c r="C447" t="s">
        <v>228</v>
      </c>
      <c r="D447" t="s">
        <v>17</v>
      </c>
      <c r="E447" t="s">
        <v>80</v>
      </c>
      <c r="F447" t="s">
        <v>55</v>
      </c>
      <c r="G447" t="s">
        <v>74</v>
      </c>
      <c r="H447" t="s">
        <v>75</v>
      </c>
      <c r="I447" s="4">
        <v>2534.1999999999998</v>
      </c>
      <c r="J447">
        <v>4</v>
      </c>
      <c r="K447" s="2">
        <v>0</v>
      </c>
      <c r="L447" s="4">
        <v>671.25</v>
      </c>
      <c r="M447" t="s">
        <v>87</v>
      </c>
      <c r="N447" t="s">
        <v>76</v>
      </c>
      <c r="O447">
        <f>YEAR(Table1[[#This Row],[Order Date]])</f>
        <v>2025</v>
      </c>
      <c r="P447" t="str">
        <f>TEXT(Table1[[#This Row],[Order Date]],"mmmm")</f>
        <v>January</v>
      </c>
      <c r="Q447" t="str">
        <f>TEXT(Table1[[#This Row],[Order Date]],"mm")</f>
        <v>01</v>
      </c>
      <c r="R447" s="2">
        <f>Table1[[#This Row],[Profit]]/Table1[[#This Row],[Sales]]</f>
        <v>0.26487648962197147</v>
      </c>
      <c r="S447" t="str">
        <f t="shared" si="6"/>
        <v>No Discount</v>
      </c>
    </row>
    <row r="448" spans="1:19" x14ac:dyDescent="0.2">
      <c r="A448" t="s">
        <v>1050</v>
      </c>
      <c r="B448" s="3" t="s">
        <v>920</v>
      </c>
      <c r="C448" t="s">
        <v>102</v>
      </c>
      <c r="D448" t="s">
        <v>17</v>
      </c>
      <c r="E448" t="s">
        <v>18</v>
      </c>
      <c r="F448" t="s">
        <v>67</v>
      </c>
      <c r="G448" t="s">
        <v>68</v>
      </c>
      <c r="H448" t="s">
        <v>103</v>
      </c>
      <c r="I448" s="4">
        <v>4651.3</v>
      </c>
      <c r="J448">
        <v>5</v>
      </c>
      <c r="K448" s="2">
        <v>0.1</v>
      </c>
      <c r="L448" s="4">
        <v>821.47</v>
      </c>
      <c r="M448" t="s">
        <v>107</v>
      </c>
      <c r="N448" t="s">
        <v>32</v>
      </c>
      <c r="O448">
        <f>YEAR(Table1[[#This Row],[Order Date]])</f>
        <v>2025</v>
      </c>
      <c r="P448" t="str">
        <f>TEXT(Table1[[#This Row],[Order Date]],"mmmm")</f>
        <v>April</v>
      </c>
      <c r="Q448" t="str">
        <f>TEXT(Table1[[#This Row],[Order Date]],"mm")</f>
        <v>04</v>
      </c>
      <c r="R448" s="2">
        <f>Table1[[#This Row],[Profit]]/Table1[[#This Row],[Sales]]</f>
        <v>0.17661083998022059</v>
      </c>
      <c r="S448" t="str">
        <f t="shared" si="6"/>
        <v>Low (1-10%)</v>
      </c>
    </row>
    <row r="449" spans="1:19" x14ac:dyDescent="0.2">
      <c r="A449" t="s">
        <v>1051</v>
      </c>
      <c r="B449" s="3" t="s">
        <v>1052</v>
      </c>
      <c r="C449" t="s">
        <v>102</v>
      </c>
      <c r="D449" t="s">
        <v>48</v>
      </c>
      <c r="E449" t="s">
        <v>84</v>
      </c>
      <c r="F449" t="s">
        <v>55</v>
      </c>
      <c r="G449" t="s">
        <v>98</v>
      </c>
      <c r="H449" t="s">
        <v>150</v>
      </c>
      <c r="I449" s="4">
        <v>1077.27</v>
      </c>
      <c r="J449">
        <v>1</v>
      </c>
      <c r="K449" s="2">
        <v>0.05</v>
      </c>
      <c r="L449" s="4">
        <v>312.87</v>
      </c>
      <c r="M449" t="s">
        <v>87</v>
      </c>
      <c r="N449" t="s">
        <v>23</v>
      </c>
      <c r="O449">
        <f>YEAR(Table1[[#This Row],[Order Date]])</f>
        <v>2024</v>
      </c>
      <c r="P449" t="str">
        <f>TEXT(Table1[[#This Row],[Order Date]],"mmmm")</f>
        <v>June</v>
      </c>
      <c r="Q449" t="str">
        <f>TEXT(Table1[[#This Row],[Order Date]],"mm")</f>
        <v>06</v>
      </c>
      <c r="R449" s="2">
        <f>Table1[[#This Row],[Profit]]/Table1[[#This Row],[Sales]]</f>
        <v>0.29042858336350219</v>
      </c>
      <c r="S449" t="str">
        <f t="shared" si="6"/>
        <v>Low (1-10%)</v>
      </c>
    </row>
    <row r="450" spans="1:19" x14ac:dyDescent="0.2">
      <c r="A450" t="s">
        <v>1053</v>
      </c>
      <c r="B450" s="3" t="s">
        <v>534</v>
      </c>
      <c r="C450" t="s">
        <v>335</v>
      </c>
      <c r="D450" t="s">
        <v>17</v>
      </c>
      <c r="E450" t="s">
        <v>18</v>
      </c>
      <c r="F450" t="s">
        <v>55</v>
      </c>
      <c r="G450" t="s">
        <v>98</v>
      </c>
      <c r="H450" t="s">
        <v>150</v>
      </c>
      <c r="I450" s="4">
        <v>1477.42</v>
      </c>
      <c r="J450">
        <v>7</v>
      </c>
      <c r="K450" s="2">
        <v>0.1</v>
      </c>
      <c r="L450" s="4">
        <v>-62.15</v>
      </c>
      <c r="M450" t="s">
        <v>63</v>
      </c>
      <c r="N450" t="s">
        <v>32</v>
      </c>
      <c r="O450">
        <f>YEAR(Table1[[#This Row],[Order Date]])</f>
        <v>2024</v>
      </c>
      <c r="P450" t="str">
        <f>TEXT(Table1[[#This Row],[Order Date]],"mmmm")</f>
        <v>November</v>
      </c>
      <c r="Q450" t="str">
        <f>TEXT(Table1[[#This Row],[Order Date]],"mm")</f>
        <v>11</v>
      </c>
      <c r="R450" s="2">
        <f>Table1[[#This Row],[Profit]]/Table1[[#This Row],[Sales]]</f>
        <v>-4.2066575516779246E-2</v>
      </c>
      <c r="S450" t="str">
        <f t="shared" ref="S450:S513" si="7">IF(K450=0,"No Discount",
IF(K450&lt;=0.1,"Low (1-10%)",
IF(K450&lt;=0.2,"Medium (11-20%)",
IF(K450&lt;=0.3,"High (21-30%)","Very High (&gt;30%)"))))</f>
        <v>Low (1-10%)</v>
      </c>
    </row>
    <row r="451" spans="1:19" x14ac:dyDescent="0.2">
      <c r="A451" t="s">
        <v>1054</v>
      </c>
      <c r="B451" s="3" t="s">
        <v>1055</v>
      </c>
      <c r="C451" t="s">
        <v>1056</v>
      </c>
      <c r="D451" t="s">
        <v>48</v>
      </c>
      <c r="E451" t="s">
        <v>73</v>
      </c>
      <c r="F451" t="s">
        <v>19</v>
      </c>
      <c r="G451" t="s">
        <v>29</v>
      </c>
      <c r="H451" t="s">
        <v>30</v>
      </c>
      <c r="I451" s="4">
        <v>4982.25</v>
      </c>
      <c r="J451">
        <v>5</v>
      </c>
      <c r="K451" s="2">
        <v>0.2</v>
      </c>
      <c r="L451" s="4">
        <v>572.66999999999996</v>
      </c>
      <c r="M451" t="s">
        <v>195</v>
      </c>
      <c r="N451" t="s">
        <v>39</v>
      </c>
      <c r="O451">
        <f>YEAR(Table1[[#This Row],[Order Date]])</f>
        <v>2025</v>
      </c>
      <c r="P451" t="str">
        <f>TEXT(Table1[[#This Row],[Order Date]],"mmmm")</f>
        <v>May</v>
      </c>
      <c r="Q451" t="str">
        <f>TEXT(Table1[[#This Row],[Order Date]],"mm")</f>
        <v>05</v>
      </c>
      <c r="R451" s="2">
        <f>Table1[[#This Row],[Profit]]/Table1[[#This Row],[Sales]]</f>
        <v>0.11494204425711274</v>
      </c>
      <c r="S451" t="str">
        <f t="shared" si="7"/>
        <v>Medium (11-20%)</v>
      </c>
    </row>
    <row r="452" spans="1:19" x14ac:dyDescent="0.2">
      <c r="A452" t="s">
        <v>1057</v>
      </c>
      <c r="B452" s="3" t="s">
        <v>1058</v>
      </c>
      <c r="C452" t="s">
        <v>843</v>
      </c>
      <c r="D452" t="s">
        <v>137</v>
      </c>
      <c r="E452" t="s">
        <v>142</v>
      </c>
      <c r="F452" t="s">
        <v>67</v>
      </c>
      <c r="G452" t="s">
        <v>68</v>
      </c>
      <c r="H452" t="s">
        <v>69</v>
      </c>
      <c r="I452" s="4">
        <v>6558.93</v>
      </c>
      <c r="J452">
        <v>7</v>
      </c>
      <c r="K452" s="2">
        <v>0</v>
      </c>
      <c r="L452" s="4">
        <v>1672.78</v>
      </c>
      <c r="M452" t="s">
        <v>143</v>
      </c>
      <c r="N452" t="s">
        <v>32</v>
      </c>
      <c r="O452">
        <f>YEAR(Table1[[#This Row],[Order Date]])</f>
        <v>2024</v>
      </c>
      <c r="P452" t="str">
        <f>TEXT(Table1[[#This Row],[Order Date]],"mmmm")</f>
        <v>November</v>
      </c>
      <c r="Q452" t="str">
        <f>TEXT(Table1[[#This Row],[Order Date]],"mm")</f>
        <v>11</v>
      </c>
      <c r="R452" s="2">
        <f>Table1[[#This Row],[Profit]]/Table1[[#This Row],[Sales]]</f>
        <v>0.25503855049527896</v>
      </c>
      <c r="S452" t="str">
        <f t="shared" si="7"/>
        <v>No Discount</v>
      </c>
    </row>
    <row r="453" spans="1:19" x14ac:dyDescent="0.2">
      <c r="A453" t="s">
        <v>1059</v>
      </c>
      <c r="B453" s="3" t="s">
        <v>1060</v>
      </c>
      <c r="C453" t="s">
        <v>194</v>
      </c>
      <c r="D453" t="s">
        <v>48</v>
      </c>
      <c r="E453" t="s">
        <v>73</v>
      </c>
      <c r="F453" t="s">
        <v>67</v>
      </c>
      <c r="G453" t="s">
        <v>85</v>
      </c>
      <c r="H453" t="s">
        <v>86</v>
      </c>
      <c r="I453" s="4">
        <v>6373.86</v>
      </c>
      <c r="J453">
        <v>6</v>
      </c>
      <c r="K453" s="2">
        <v>0.2</v>
      </c>
      <c r="L453" s="4">
        <v>1428.36</v>
      </c>
      <c r="M453" t="s">
        <v>31</v>
      </c>
      <c r="N453" t="s">
        <v>39</v>
      </c>
      <c r="O453">
        <f>YEAR(Table1[[#This Row],[Order Date]])</f>
        <v>2024</v>
      </c>
      <c r="P453" t="str">
        <f>TEXT(Table1[[#This Row],[Order Date]],"mmmm")</f>
        <v>March</v>
      </c>
      <c r="Q453" t="str">
        <f>TEXT(Table1[[#This Row],[Order Date]],"mm")</f>
        <v>03</v>
      </c>
      <c r="R453" s="2">
        <f>Table1[[#This Row],[Profit]]/Table1[[#This Row],[Sales]]</f>
        <v>0.22409654432322015</v>
      </c>
      <c r="S453" t="str">
        <f t="shared" si="7"/>
        <v>Medium (11-20%)</v>
      </c>
    </row>
    <row r="454" spans="1:19" x14ac:dyDescent="0.2">
      <c r="A454" t="s">
        <v>1061</v>
      </c>
      <c r="B454" s="3" t="s">
        <v>780</v>
      </c>
      <c r="C454" t="s">
        <v>1062</v>
      </c>
      <c r="D454" t="s">
        <v>27</v>
      </c>
      <c r="E454" t="s">
        <v>28</v>
      </c>
      <c r="F454" t="s">
        <v>19</v>
      </c>
      <c r="G454" t="s">
        <v>36</v>
      </c>
      <c r="H454" t="s">
        <v>222</v>
      </c>
      <c r="I454" s="4">
        <v>4868.58</v>
      </c>
      <c r="J454">
        <v>6</v>
      </c>
      <c r="K454" s="2">
        <v>0.05</v>
      </c>
      <c r="L454" s="4">
        <v>1377.81</v>
      </c>
      <c r="M454" t="s">
        <v>107</v>
      </c>
      <c r="N454" t="s">
        <v>39</v>
      </c>
      <c r="O454">
        <f>YEAR(Table1[[#This Row],[Order Date]])</f>
        <v>2024</v>
      </c>
      <c r="P454" t="str">
        <f>TEXT(Table1[[#This Row],[Order Date]],"mmmm")</f>
        <v>December</v>
      </c>
      <c r="Q454" t="str">
        <f>TEXT(Table1[[#This Row],[Order Date]],"mm")</f>
        <v>12</v>
      </c>
      <c r="R454" s="2">
        <f>Table1[[#This Row],[Profit]]/Table1[[#This Row],[Sales]]</f>
        <v>0.2830003820415809</v>
      </c>
      <c r="S454" t="str">
        <f t="shared" si="7"/>
        <v>Low (1-10%)</v>
      </c>
    </row>
    <row r="455" spans="1:19" x14ac:dyDescent="0.2">
      <c r="A455" t="s">
        <v>1063</v>
      </c>
      <c r="B455" s="3" t="s">
        <v>1064</v>
      </c>
      <c r="C455" t="s">
        <v>208</v>
      </c>
      <c r="D455" t="s">
        <v>17</v>
      </c>
      <c r="E455" t="s">
        <v>97</v>
      </c>
      <c r="F455" t="s">
        <v>67</v>
      </c>
      <c r="G455" t="s">
        <v>115</v>
      </c>
      <c r="H455" t="s">
        <v>212</v>
      </c>
      <c r="I455" s="4">
        <v>5996.94</v>
      </c>
      <c r="J455">
        <v>6</v>
      </c>
      <c r="K455" s="2">
        <v>0.25</v>
      </c>
      <c r="L455" s="4">
        <v>368.3</v>
      </c>
      <c r="M455" t="s">
        <v>143</v>
      </c>
      <c r="N455" t="s">
        <v>39</v>
      </c>
      <c r="O455">
        <f>YEAR(Table1[[#This Row],[Order Date]])</f>
        <v>2024</v>
      </c>
      <c r="P455" t="str">
        <f>TEXT(Table1[[#This Row],[Order Date]],"mmmm")</f>
        <v>August</v>
      </c>
      <c r="Q455" t="str">
        <f>TEXT(Table1[[#This Row],[Order Date]],"mm")</f>
        <v>08</v>
      </c>
      <c r="R455" s="2">
        <f>Table1[[#This Row],[Profit]]/Table1[[#This Row],[Sales]]</f>
        <v>6.1414654807285057E-2</v>
      </c>
      <c r="S455" t="str">
        <f t="shared" si="7"/>
        <v>High (21-30%)</v>
      </c>
    </row>
    <row r="456" spans="1:19" x14ac:dyDescent="0.2">
      <c r="A456" t="s">
        <v>1065</v>
      </c>
      <c r="B456" s="3" t="s">
        <v>1066</v>
      </c>
      <c r="C456" t="s">
        <v>60</v>
      </c>
      <c r="D456" t="s">
        <v>48</v>
      </c>
      <c r="E456" t="s">
        <v>110</v>
      </c>
      <c r="F456" t="s">
        <v>67</v>
      </c>
      <c r="G456" t="s">
        <v>85</v>
      </c>
      <c r="H456" t="s">
        <v>125</v>
      </c>
      <c r="I456" s="4">
        <v>1033.98</v>
      </c>
      <c r="J456">
        <v>2</v>
      </c>
      <c r="K456" s="2">
        <v>0.3</v>
      </c>
      <c r="L456" s="4">
        <v>-142.01</v>
      </c>
      <c r="M456" t="s">
        <v>195</v>
      </c>
      <c r="N456" t="s">
        <v>39</v>
      </c>
      <c r="O456">
        <f>YEAR(Table1[[#This Row],[Order Date]])</f>
        <v>2025</v>
      </c>
      <c r="P456" t="str">
        <f>TEXT(Table1[[#This Row],[Order Date]],"mmmm")</f>
        <v>March</v>
      </c>
      <c r="Q456" t="str">
        <f>TEXT(Table1[[#This Row],[Order Date]],"mm")</f>
        <v>03</v>
      </c>
      <c r="R456" s="2">
        <f>Table1[[#This Row],[Profit]]/Table1[[#This Row],[Sales]]</f>
        <v>-0.13734308207121992</v>
      </c>
      <c r="S456" t="str">
        <f t="shared" si="7"/>
        <v>High (21-30%)</v>
      </c>
    </row>
    <row r="457" spans="1:19" x14ac:dyDescent="0.2">
      <c r="A457" t="s">
        <v>1067</v>
      </c>
      <c r="B457" s="3" t="s">
        <v>1068</v>
      </c>
      <c r="C457" t="s">
        <v>205</v>
      </c>
      <c r="D457" t="s">
        <v>137</v>
      </c>
      <c r="E457" t="s">
        <v>242</v>
      </c>
      <c r="F457" t="s">
        <v>55</v>
      </c>
      <c r="G457" t="s">
        <v>74</v>
      </c>
      <c r="H457" t="s">
        <v>75</v>
      </c>
      <c r="I457" s="4">
        <v>3852.17</v>
      </c>
      <c r="J457">
        <v>7</v>
      </c>
      <c r="K457" s="2">
        <v>0.15</v>
      </c>
      <c r="L457" s="4">
        <v>521.28</v>
      </c>
      <c r="M457" t="s">
        <v>31</v>
      </c>
      <c r="N457" t="s">
        <v>32</v>
      </c>
      <c r="O457">
        <f>YEAR(Table1[[#This Row],[Order Date]])</f>
        <v>2024</v>
      </c>
      <c r="P457" t="str">
        <f>TEXT(Table1[[#This Row],[Order Date]],"mmmm")</f>
        <v>July</v>
      </c>
      <c r="Q457" t="str">
        <f>TEXT(Table1[[#This Row],[Order Date]],"mm")</f>
        <v>07</v>
      </c>
      <c r="R457" s="2">
        <f>Table1[[#This Row],[Profit]]/Table1[[#This Row],[Sales]]</f>
        <v>0.1353211306873788</v>
      </c>
      <c r="S457" t="str">
        <f t="shared" si="7"/>
        <v>Medium (11-20%)</v>
      </c>
    </row>
    <row r="458" spans="1:19" x14ac:dyDescent="0.2">
      <c r="A458" t="s">
        <v>1069</v>
      </c>
      <c r="B458" s="3" t="s">
        <v>1070</v>
      </c>
      <c r="C458" t="s">
        <v>519</v>
      </c>
      <c r="D458" t="s">
        <v>137</v>
      </c>
      <c r="E458" t="s">
        <v>142</v>
      </c>
      <c r="F458" t="s">
        <v>19</v>
      </c>
      <c r="G458" t="s">
        <v>36</v>
      </c>
      <c r="H458" t="s">
        <v>37</v>
      </c>
      <c r="I458" s="4">
        <v>7674.6</v>
      </c>
      <c r="J458">
        <v>10</v>
      </c>
      <c r="K458" s="2">
        <v>0.2</v>
      </c>
      <c r="L458" s="4">
        <v>8.93</v>
      </c>
      <c r="M458" t="s">
        <v>31</v>
      </c>
      <c r="N458" t="s">
        <v>23</v>
      </c>
      <c r="O458">
        <f>YEAR(Table1[[#This Row],[Order Date]])</f>
        <v>2025</v>
      </c>
      <c r="P458" t="str">
        <f>TEXT(Table1[[#This Row],[Order Date]],"mmmm")</f>
        <v>August</v>
      </c>
      <c r="Q458" t="str">
        <f>TEXT(Table1[[#This Row],[Order Date]],"mm")</f>
        <v>08</v>
      </c>
      <c r="R458" s="2">
        <f>Table1[[#This Row],[Profit]]/Table1[[#This Row],[Sales]]</f>
        <v>1.163578557840148E-3</v>
      </c>
      <c r="S458" t="str">
        <f t="shared" si="7"/>
        <v>Medium (11-20%)</v>
      </c>
    </row>
    <row r="459" spans="1:19" x14ac:dyDescent="0.2">
      <c r="A459" t="s">
        <v>1071</v>
      </c>
      <c r="B459" s="3" t="s">
        <v>910</v>
      </c>
      <c r="C459" t="s">
        <v>1072</v>
      </c>
      <c r="D459" t="s">
        <v>137</v>
      </c>
      <c r="E459" t="s">
        <v>138</v>
      </c>
      <c r="F459" t="s">
        <v>55</v>
      </c>
      <c r="G459" t="s">
        <v>56</v>
      </c>
      <c r="H459" t="s">
        <v>129</v>
      </c>
      <c r="I459" s="4">
        <v>608.88</v>
      </c>
      <c r="J459">
        <v>1</v>
      </c>
      <c r="K459" s="2">
        <v>0</v>
      </c>
      <c r="L459" s="4">
        <v>92.36</v>
      </c>
      <c r="M459" t="s">
        <v>38</v>
      </c>
      <c r="N459" t="s">
        <v>23</v>
      </c>
      <c r="O459">
        <f>YEAR(Table1[[#This Row],[Order Date]])</f>
        <v>2024</v>
      </c>
      <c r="P459" t="str">
        <f>TEXT(Table1[[#This Row],[Order Date]],"mmmm")</f>
        <v>October</v>
      </c>
      <c r="Q459" t="str">
        <f>TEXT(Table1[[#This Row],[Order Date]],"mm")</f>
        <v>10</v>
      </c>
      <c r="R459" s="2">
        <f>Table1[[#This Row],[Profit]]/Table1[[#This Row],[Sales]]</f>
        <v>0.15168834581526738</v>
      </c>
      <c r="S459" t="str">
        <f t="shared" si="7"/>
        <v>No Discount</v>
      </c>
    </row>
    <row r="460" spans="1:19" x14ac:dyDescent="0.2">
      <c r="A460" t="s">
        <v>1073</v>
      </c>
      <c r="B460" s="3" t="s">
        <v>1074</v>
      </c>
      <c r="C460" t="s">
        <v>1075</v>
      </c>
      <c r="D460" t="s">
        <v>137</v>
      </c>
      <c r="E460" t="s">
        <v>138</v>
      </c>
      <c r="F460" t="s">
        <v>55</v>
      </c>
      <c r="G460" t="s">
        <v>56</v>
      </c>
      <c r="H460" t="s">
        <v>129</v>
      </c>
      <c r="I460" s="4">
        <v>1004.37</v>
      </c>
      <c r="J460">
        <v>3</v>
      </c>
      <c r="K460" s="2">
        <v>0.25</v>
      </c>
      <c r="L460" s="4">
        <v>-124.84</v>
      </c>
      <c r="M460" t="s">
        <v>63</v>
      </c>
      <c r="N460" t="s">
        <v>76</v>
      </c>
      <c r="O460">
        <f>YEAR(Table1[[#This Row],[Order Date]])</f>
        <v>2024</v>
      </c>
      <c r="P460" t="str">
        <f>TEXT(Table1[[#This Row],[Order Date]],"mmmm")</f>
        <v>June</v>
      </c>
      <c r="Q460" t="str">
        <f>TEXT(Table1[[#This Row],[Order Date]],"mm")</f>
        <v>06</v>
      </c>
      <c r="R460" s="2">
        <f>Table1[[#This Row],[Profit]]/Table1[[#This Row],[Sales]]</f>
        <v>-0.12429682288399693</v>
      </c>
      <c r="S460" t="str">
        <f t="shared" si="7"/>
        <v>High (21-30%)</v>
      </c>
    </row>
    <row r="461" spans="1:19" x14ac:dyDescent="0.2">
      <c r="A461" t="s">
        <v>1076</v>
      </c>
      <c r="B461" s="3" t="s">
        <v>301</v>
      </c>
      <c r="C461" t="s">
        <v>618</v>
      </c>
      <c r="D461" t="s">
        <v>48</v>
      </c>
      <c r="E461" t="s">
        <v>84</v>
      </c>
      <c r="F461" t="s">
        <v>67</v>
      </c>
      <c r="G461" t="s">
        <v>85</v>
      </c>
      <c r="H461" t="s">
        <v>86</v>
      </c>
      <c r="I461" s="4">
        <v>3914.56</v>
      </c>
      <c r="J461">
        <v>4</v>
      </c>
      <c r="K461" s="2">
        <v>0.25</v>
      </c>
      <c r="L461" s="4">
        <v>650.58000000000004</v>
      </c>
      <c r="M461" t="s">
        <v>38</v>
      </c>
      <c r="N461" t="s">
        <v>23</v>
      </c>
      <c r="O461">
        <f>YEAR(Table1[[#This Row],[Order Date]])</f>
        <v>2025</v>
      </c>
      <c r="P461" t="str">
        <f>TEXT(Table1[[#This Row],[Order Date]],"mmmm")</f>
        <v>June</v>
      </c>
      <c r="Q461" t="str">
        <f>TEXT(Table1[[#This Row],[Order Date]],"mm")</f>
        <v>06</v>
      </c>
      <c r="R461" s="2">
        <f>Table1[[#This Row],[Profit]]/Table1[[#This Row],[Sales]]</f>
        <v>0.16619492356739968</v>
      </c>
      <c r="S461" t="str">
        <f t="shared" si="7"/>
        <v>High (21-30%)</v>
      </c>
    </row>
    <row r="462" spans="1:19" x14ac:dyDescent="0.2">
      <c r="A462" t="s">
        <v>1077</v>
      </c>
      <c r="B462" s="3" t="s">
        <v>188</v>
      </c>
      <c r="C462" t="s">
        <v>183</v>
      </c>
      <c r="D462" t="s">
        <v>48</v>
      </c>
      <c r="E462" t="s">
        <v>110</v>
      </c>
      <c r="F462" t="s">
        <v>67</v>
      </c>
      <c r="G462" t="s">
        <v>85</v>
      </c>
      <c r="H462" t="s">
        <v>253</v>
      </c>
      <c r="I462" s="4">
        <v>4566.7299999999996</v>
      </c>
      <c r="J462">
        <v>7</v>
      </c>
      <c r="K462" s="2">
        <v>0.2</v>
      </c>
      <c r="L462" s="4">
        <v>391.04</v>
      </c>
      <c r="M462" t="s">
        <v>44</v>
      </c>
      <c r="N462" t="s">
        <v>76</v>
      </c>
      <c r="O462">
        <f>YEAR(Table1[[#This Row],[Order Date]])</f>
        <v>2025</v>
      </c>
      <c r="P462" t="str">
        <f>TEXT(Table1[[#This Row],[Order Date]],"mmmm")</f>
        <v>June</v>
      </c>
      <c r="Q462" t="str">
        <f>TEXT(Table1[[#This Row],[Order Date]],"mm")</f>
        <v>06</v>
      </c>
      <c r="R462" s="2">
        <f>Table1[[#This Row],[Profit]]/Table1[[#This Row],[Sales]]</f>
        <v>8.5628009538553859E-2</v>
      </c>
      <c r="S462" t="str">
        <f t="shared" si="7"/>
        <v>Medium (11-20%)</v>
      </c>
    </row>
    <row r="463" spans="1:19" x14ac:dyDescent="0.2">
      <c r="A463" t="s">
        <v>1078</v>
      </c>
      <c r="B463" s="3" t="s">
        <v>512</v>
      </c>
      <c r="C463" t="s">
        <v>186</v>
      </c>
      <c r="D463" t="s">
        <v>27</v>
      </c>
      <c r="E463" t="s">
        <v>61</v>
      </c>
      <c r="F463" t="s">
        <v>67</v>
      </c>
      <c r="G463" t="s">
        <v>115</v>
      </c>
      <c r="H463" t="s">
        <v>212</v>
      </c>
      <c r="I463" s="4">
        <v>695.28</v>
      </c>
      <c r="J463">
        <v>6</v>
      </c>
      <c r="K463" s="2">
        <v>0.1</v>
      </c>
      <c r="L463" s="4">
        <v>140.46</v>
      </c>
      <c r="M463" t="s">
        <v>44</v>
      </c>
      <c r="N463" t="s">
        <v>76</v>
      </c>
      <c r="O463">
        <f>YEAR(Table1[[#This Row],[Order Date]])</f>
        <v>2024</v>
      </c>
      <c r="P463" t="str">
        <f>TEXT(Table1[[#This Row],[Order Date]],"mmmm")</f>
        <v>January</v>
      </c>
      <c r="Q463" t="str">
        <f>TEXT(Table1[[#This Row],[Order Date]],"mm")</f>
        <v>01</v>
      </c>
      <c r="R463" s="2">
        <f>Table1[[#This Row],[Profit]]/Table1[[#This Row],[Sales]]</f>
        <v>0.20201933034173283</v>
      </c>
      <c r="S463" t="str">
        <f t="shared" si="7"/>
        <v>Low (1-10%)</v>
      </c>
    </row>
    <row r="464" spans="1:19" x14ac:dyDescent="0.2">
      <c r="A464" t="s">
        <v>1079</v>
      </c>
      <c r="B464" s="3" t="s">
        <v>935</v>
      </c>
      <c r="C464" t="s">
        <v>749</v>
      </c>
      <c r="D464" t="s">
        <v>27</v>
      </c>
      <c r="E464" t="s">
        <v>61</v>
      </c>
      <c r="F464" t="s">
        <v>55</v>
      </c>
      <c r="G464" t="s">
        <v>74</v>
      </c>
      <c r="H464" t="s">
        <v>272</v>
      </c>
      <c r="I464" s="4">
        <v>5915.65</v>
      </c>
      <c r="J464">
        <v>5</v>
      </c>
      <c r="K464" s="2">
        <v>0.05</v>
      </c>
      <c r="L464" s="4">
        <v>1116.51</v>
      </c>
      <c r="M464" t="s">
        <v>38</v>
      </c>
      <c r="N464" t="s">
        <v>39</v>
      </c>
      <c r="O464">
        <f>YEAR(Table1[[#This Row],[Order Date]])</f>
        <v>2025</v>
      </c>
      <c r="P464" t="str">
        <f>TEXT(Table1[[#This Row],[Order Date]],"mmmm")</f>
        <v>May</v>
      </c>
      <c r="Q464" t="str">
        <f>TEXT(Table1[[#This Row],[Order Date]],"mm")</f>
        <v>05</v>
      </c>
      <c r="R464" s="2">
        <f>Table1[[#This Row],[Profit]]/Table1[[#This Row],[Sales]]</f>
        <v>0.18873834658913222</v>
      </c>
      <c r="S464" t="str">
        <f t="shared" si="7"/>
        <v>Low (1-10%)</v>
      </c>
    </row>
    <row r="465" spans="1:19" x14ac:dyDescent="0.2">
      <c r="A465" t="s">
        <v>1080</v>
      </c>
      <c r="B465" s="3" t="s">
        <v>270</v>
      </c>
      <c r="C465" t="s">
        <v>149</v>
      </c>
      <c r="D465" t="s">
        <v>27</v>
      </c>
      <c r="E465" t="s">
        <v>28</v>
      </c>
      <c r="F465" t="s">
        <v>67</v>
      </c>
      <c r="G465" t="s">
        <v>68</v>
      </c>
      <c r="H465" t="s">
        <v>103</v>
      </c>
      <c r="I465" s="4">
        <v>4114.3900000000003</v>
      </c>
      <c r="J465">
        <v>7</v>
      </c>
      <c r="K465" s="2">
        <v>0.1</v>
      </c>
      <c r="L465" s="4">
        <v>1110.8900000000001</v>
      </c>
      <c r="M465" t="s">
        <v>63</v>
      </c>
      <c r="N465" t="s">
        <v>76</v>
      </c>
      <c r="O465">
        <f>YEAR(Table1[[#This Row],[Order Date]])</f>
        <v>2025</v>
      </c>
      <c r="P465" t="str">
        <f>TEXT(Table1[[#This Row],[Order Date]],"mmmm")</f>
        <v>February</v>
      </c>
      <c r="Q465" t="str">
        <f>TEXT(Table1[[#This Row],[Order Date]],"mm")</f>
        <v>02</v>
      </c>
      <c r="R465" s="2">
        <f>Table1[[#This Row],[Profit]]/Table1[[#This Row],[Sales]]</f>
        <v>0.27000114233215616</v>
      </c>
      <c r="S465" t="str">
        <f t="shared" si="7"/>
        <v>Low (1-10%)</v>
      </c>
    </row>
    <row r="466" spans="1:19" x14ac:dyDescent="0.2">
      <c r="A466" t="s">
        <v>1081</v>
      </c>
      <c r="B466" s="3" t="s">
        <v>1082</v>
      </c>
      <c r="C466" t="s">
        <v>16</v>
      </c>
      <c r="D466" t="s">
        <v>27</v>
      </c>
      <c r="E466" t="s">
        <v>61</v>
      </c>
      <c r="F466" t="s">
        <v>19</v>
      </c>
      <c r="G466" t="s">
        <v>36</v>
      </c>
      <c r="H466" t="s">
        <v>222</v>
      </c>
      <c r="I466" s="4">
        <v>3093.75</v>
      </c>
      <c r="J466">
        <v>5</v>
      </c>
      <c r="K466" s="2">
        <v>0.2</v>
      </c>
      <c r="L466" s="4">
        <v>53.99</v>
      </c>
      <c r="M466" t="s">
        <v>195</v>
      </c>
      <c r="N466" t="s">
        <v>76</v>
      </c>
      <c r="O466">
        <f>YEAR(Table1[[#This Row],[Order Date]])</f>
        <v>2024</v>
      </c>
      <c r="P466" t="str">
        <f>TEXT(Table1[[#This Row],[Order Date]],"mmmm")</f>
        <v>February</v>
      </c>
      <c r="Q466" t="str">
        <f>TEXT(Table1[[#This Row],[Order Date]],"mm")</f>
        <v>02</v>
      </c>
      <c r="R466" s="2">
        <f>Table1[[#This Row],[Profit]]/Table1[[#This Row],[Sales]]</f>
        <v>1.7451313131313134E-2</v>
      </c>
      <c r="S466" t="str">
        <f t="shared" si="7"/>
        <v>Medium (11-20%)</v>
      </c>
    </row>
    <row r="467" spans="1:19" x14ac:dyDescent="0.2">
      <c r="A467" t="s">
        <v>1083</v>
      </c>
      <c r="B467" s="3" t="s">
        <v>1084</v>
      </c>
      <c r="C467" t="s">
        <v>601</v>
      </c>
      <c r="D467" t="s">
        <v>27</v>
      </c>
      <c r="E467" t="s">
        <v>61</v>
      </c>
      <c r="F467" t="s">
        <v>19</v>
      </c>
      <c r="G467" t="s">
        <v>20</v>
      </c>
      <c r="H467" t="s">
        <v>21</v>
      </c>
      <c r="I467" s="4">
        <v>3486.8</v>
      </c>
      <c r="J467">
        <v>4</v>
      </c>
      <c r="K467" s="2">
        <v>0.1</v>
      </c>
      <c r="L467" s="4">
        <v>983.16</v>
      </c>
      <c r="M467" t="s">
        <v>63</v>
      </c>
      <c r="N467" t="s">
        <v>23</v>
      </c>
      <c r="O467">
        <f>YEAR(Table1[[#This Row],[Order Date]])</f>
        <v>2025</v>
      </c>
      <c r="P467" t="str">
        <f>TEXT(Table1[[#This Row],[Order Date]],"mmmm")</f>
        <v>August</v>
      </c>
      <c r="Q467" t="str">
        <f>TEXT(Table1[[#This Row],[Order Date]],"mm")</f>
        <v>08</v>
      </c>
      <c r="R467" s="2">
        <f>Table1[[#This Row],[Profit]]/Table1[[#This Row],[Sales]]</f>
        <v>0.28196627280027531</v>
      </c>
      <c r="S467" t="str">
        <f t="shared" si="7"/>
        <v>Low (1-10%)</v>
      </c>
    </row>
    <row r="468" spans="1:19" x14ac:dyDescent="0.2">
      <c r="A468" t="s">
        <v>1085</v>
      </c>
      <c r="B468" s="3" t="s">
        <v>525</v>
      </c>
      <c r="C468" t="s">
        <v>346</v>
      </c>
      <c r="D468" t="s">
        <v>27</v>
      </c>
      <c r="E468" t="s">
        <v>43</v>
      </c>
      <c r="F468" t="s">
        <v>19</v>
      </c>
      <c r="G468" t="s">
        <v>29</v>
      </c>
      <c r="H468" t="s">
        <v>199</v>
      </c>
      <c r="I468" s="4">
        <v>788.4</v>
      </c>
      <c r="J468">
        <v>1</v>
      </c>
      <c r="K468" s="2">
        <v>0</v>
      </c>
      <c r="L468" s="4">
        <v>166.57</v>
      </c>
      <c r="M468" t="s">
        <v>117</v>
      </c>
      <c r="N468" t="s">
        <v>23</v>
      </c>
      <c r="O468">
        <f>YEAR(Table1[[#This Row],[Order Date]])</f>
        <v>2024</v>
      </c>
      <c r="P468" t="str">
        <f>TEXT(Table1[[#This Row],[Order Date]],"mmmm")</f>
        <v>October</v>
      </c>
      <c r="Q468" t="str">
        <f>TEXT(Table1[[#This Row],[Order Date]],"mm")</f>
        <v>10</v>
      </c>
      <c r="R468" s="2">
        <f>Table1[[#This Row],[Profit]]/Table1[[#This Row],[Sales]]</f>
        <v>0.21127600202942667</v>
      </c>
      <c r="S468" t="str">
        <f t="shared" si="7"/>
        <v>No Discount</v>
      </c>
    </row>
    <row r="469" spans="1:19" x14ac:dyDescent="0.2">
      <c r="A469" t="s">
        <v>1086</v>
      </c>
      <c r="B469" s="3" t="s">
        <v>1087</v>
      </c>
      <c r="C469" t="s">
        <v>1088</v>
      </c>
      <c r="D469" t="s">
        <v>17</v>
      </c>
      <c r="E469" t="s">
        <v>18</v>
      </c>
      <c r="F469" t="s">
        <v>19</v>
      </c>
      <c r="G469" t="s">
        <v>20</v>
      </c>
      <c r="H469" t="s">
        <v>239</v>
      </c>
      <c r="I469" s="4">
        <v>10166.4</v>
      </c>
      <c r="J469">
        <v>10</v>
      </c>
      <c r="K469" s="2">
        <v>0.15</v>
      </c>
      <c r="L469" s="4">
        <v>333.35</v>
      </c>
      <c r="M469" t="s">
        <v>87</v>
      </c>
      <c r="N469" t="s">
        <v>32</v>
      </c>
      <c r="O469">
        <f>YEAR(Table1[[#This Row],[Order Date]])</f>
        <v>2024</v>
      </c>
      <c r="P469" t="str">
        <f>TEXT(Table1[[#This Row],[Order Date]],"mmmm")</f>
        <v>March</v>
      </c>
      <c r="Q469" t="str">
        <f>TEXT(Table1[[#This Row],[Order Date]],"mm")</f>
        <v>03</v>
      </c>
      <c r="R469" s="2">
        <f>Table1[[#This Row],[Profit]]/Table1[[#This Row],[Sales]]</f>
        <v>3.2789384639597109E-2</v>
      </c>
      <c r="S469" t="str">
        <f t="shared" si="7"/>
        <v>Medium (11-20%)</v>
      </c>
    </row>
    <row r="470" spans="1:19" x14ac:dyDescent="0.2">
      <c r="A470" t="s">
        <v>1089</v>
      </c>
      <c r="B470" s="3" t="s">
        <v>1090</v>
      </c>
      <c r="C470" t="s">
        <v>959</v>
      </c>
      <c r="D470" t="s">
        <v>17</v>
      </c>
      <c r="E470" t="s">
        <v>97</v>
      </c>
      <c r="F470" t="s">
        <v>67</v>
      </c>
      <c r="G470" t="s">
        <v>68</v>
      </c>
      <c r="H470" t="s">
        <v>103</v>
      </c>
      <c r="I470" s="4">
        <v>1423.02</v>
      </c>
      <c r="J470">
        <v>3</v>
      </c>
      <c r="K470" s="2">
        <v>0.1</v>
      </c>
      <c r="L470" s="4">
        <v>-21.26</v>
      </c>
      <c r="M470" t="s">
        <v>22</v>
      </c>
      <c r="N470" t="s">
        <v>23</v>
      </c>
      <c r="O470">
        <f>YEAR(Table1[[#This Row],[Order Date]])</f>
        <v>2024</v>
      </c>
      <c r="P470" t="str">
        <f>TEXT(Table1[[#This Row],[Order Date]],"mmmm")</f>
        <v>October</v>
      </c>
      <c r="Q470" t="str">
        <f>TEXT(Table1[[#This Row],[Order Date]],"mm")</f>
        <v>10</v>
      </c>
      <c r="R470" s="2">
        <f>Table1[[#This Row],[Profit]]/Table1[[#This Row],[Sales]]</f>
        <v>-1.4940057061741931E-2</v>
      </c>
      <c r="S470" t="str">
        <f t="shared" si="7"/>
        <v>Low (1-10%)</v>
      </c>
    </row>
    <row r="471" spans="1:19" x14ac:dyDescent="0.2">
      <c r="A471" t="s">
        <v>1091</v>
      </c>
      <c r="B471" s="3" t="s">
        <v>1092</v>
      </c>
      <c r="C471" t="s">
        <v>701</v>
      </c>
      <c r="D471" t="s">
        <v>48</v>
      </c>
      <c r="E471" t="s">
        <v>73</v>
      </c>
      <c r="F471" t="s">
        <v>19</v>
      </c>
      <c r="G471" t="s">
        <v>36</v>
      </c>
      <c r="H471" t="s">
        <v>222</v>
      </c>
      <c r="I471" s="4">
        <v>1286.01</v>
      </c>
      <c r="J471">
        <v>3</v>
      </c>
      <c r="K471" s="2">
        <v>0.25</v>
      </c>
      <c r="L471" s="4">
        <v>103.06</v>
      </c>
      <c r="M471" t="s">
        <v>107</v>
      </c>
      <c r="N471" t="s">
        <v>32</v>
      </c>
      <c r="O471">
        <f>YEAR(Table1[[#This Row],[Order Date]])</f>
        <v>2024</v>
      </c>
      <c r="P471" t="str">
        <f>TEXT(Table1[[#This Row],[Order Date]],"mmmm")</f>
        <v>November</v>
      </c>
      <c r="Q471" t="str">
        <f>TEXT(Table1[[#This Row],[Order Date]],"mm")</f>
        <v>11</v>
      </c>
      <c r="R471" s="2">
        <f>Table1[[#This Row],[Profit]]/Table1[[#This Row],[Sales]]</f>
        <v>8.0139345728260286E-2</v>
      </c>
      <c r="S471" t="str">
        <f t="shared" si="7"/>
        <v>High (21-30%)</v>
      </c>
    </row>
    <row r="472" spans="1:19" x14ac:dyDescent="0.2">
      <c r="A472" t="s">
        <v>1093</v>
      </c>
      <c r="B472" s="3" t="s">
        <v>500</v>
      </c>
      <c r="C472" t="s">
        <v>841</v>
      </c>
      <c r="D472" t="s">
        <v>137</v>
      </c>
      <c r="E472" t="s">
        <v>142</v>
      </c>
      <c r="F472" t="s">
        <v>19</v>
      </c>
      <c r="G472" t="s">
        <v>20</v>
      </c>
      <c r="H472" t="s">
        <v>347</v>
      </c>
      <c r="I472" s="4">
        <v>8850.6</v>
      </c>
      <c r="J472">
        <v>9</v>
      </c>
      <c r="K472" s="2">
        <v>0.25</v>
      </c>
      <c r="L472" s="4">
        <v>1647.86</v>
      </c>
      <c r="M472" t="s">
        <v>195</v>
      </c>
      <c r="N472" t="s">
        <v>32</v>
      </c>
      <c r="O472">
        <f>YEAR(Table1[[#This Row],[Order Date]])</f>
        <v>2024</v>
      </c>
      <c r="P472" t="str">
        <f>TEXT(Table1[[#This Row],[Order Date]],"mmmm")</f>
        <v>April</v>
      </c>
      <c r="Q472" t="str">
        <f>TEXT(Table1[[#This Row],[Order Date]],"mm")</f>
        <v>04</v>
      </c>
      <c r="R472" s="2">
        <f>Table1[[#This Row],[Profit]]/Table1[[#This Row],[Sales]]</f>
        <v>0.18618624726007274</v>
      </c>
      <c r="S472" t="str">
        <f t="shared" si="7"/>
        <v>High (21-30%)</v>
      </c>
    </row>
    <row r="473" spans="1:19" x14ac:dyDescent="0.2">
      <c r="A473" t="s">
        <v>1094</v>
      </c>
      <c r="B473" s="3" t="s">
        <v>806</v>
      </c>
      <c r="C473" t="s">
        <v>766</v>
      </c>
      <c r="D473" t="s">
        <v>27</v>
      </c>
      <c r="E473" t="s">
        <v>61</v>
      </c>
      <c r="F473" t="s">
        <v>67</v>
      </c>
      <c r="G473" t="s">
        <v>85</v>
      </c>
      <c r="H473" t="s">
        <v>86</v>
      </c>
      <c r="I473" s="4">
        <v>1180.1400000000001</v>
      </c>
      <c r="J473">
        <v>3</v>
      </c>
      <c r="K473" s="2">
        <v>0.05</v>
      </c>
      <c r="L473" s="4">
        <v>81.94</v>
      </c>
      <c r="M473" t="s">
        <v>63</v>
      </c>
      <c r="N473" t="s">
        <v>76</v>
      </c>
      <c r="O473">
        <f>YEAR(Table1[[#This Row],[Order Date]])</f>
        <v>2024</v>
      </c>
      <c r="P473" t="str">
        <f>TEXT(Table1[[#This Row],[Order Date]],"mmmm")</f>
        <v>May</v>
      </c>
      <c r="Q473" t="str">
        <f>TEXT(Table1[[#This Row],[Order Date]],"mm")</f>
        <v>05</v>
      </c>
      <c r="R473" s="2">
        <f>Table1[[#This Row],[Profit]]/Table1[[#This Row],[Sales]]</f>
        <v>6.9432440218957059E-2</v>
      </c>
      <c r="S473" t="str">
        <f t="shared" si="7"/>
        <v>Low (1-10%)</v>
      </c>
    </row>
    <row r="474" spans="1:19" x14ac:dyDescent="0.2">
      <c r="A474" t="s">
        <v>1095</v>
      </c>
      <c r="B474" s="3" t="s">
        <v>372</v>
      </c>
      <c r="C474" t="s">
        <v>292</v>
      </c>
      <c r="D474" t="s">
        <v>48</v>
      </c>
      <c r="E474" t="s">
        <v>49</v>
      </c>
      <c r="F474" t="s">
        <v>55</v>
      </c>
      <c r="G474" t="s">
        <v>98</v>
      </c>
      <c r="H474" t="s">
        <v>150</v>
      </c>
      <c r="I474" s="4">
        <v>7931.61</v>
      </c>
      <c r="J474">
        <v>9</v>
      </c>
      <c r="K474" s="2">
        <v>0</v>
      </c>
      <c r="L474" s="4">
        <v>1564.09</v>
      </c>
      <c r="M474" t="s">
        <v>38</v>
      </c>
      <c r="N474" t="s">
        <v>32</v>
      </c>
      <c r="O474">
        <f>YEAR(Table1[[#This Row],[Order Date]])</f>
        <v>2024</v>
      </c>
      <c r="P474" t="str">
        <f>TEXT(Table1[[#This Row],[Order Date]],"mmmm")</f>
        <v>July</v>
      </c>
      <c r="Q474" t="str">
        <f>TEXT(Table1[[#This Row],[Order Date]],"mm")</f>
        <v>07</v>
      </c>
      <c r="R474" s="2">
        <f>Table1[[#This Row],[Profit]]/Table1[[#This Row],[Sales]]</f>
        <v>0.1971970381801425</v>
      </c>
      <c r="S474" t="str">
        <f t="shared" si="7"/>
        <v>No Discount</v>
      </c>
    </row>
    <row r="475" spans="1:19" x14ac:dyDescent="0.2">
      <c r="A475" t="s">
        <v>1096</v>
      </c>
      <c r="B475" s="3" t="s">
        <v>1097</v>
      </c>
      <c r="C475" t="s">
        <v>319</v>
      </c>
      <c r="D475" t="s">
        <v>48</v>
      </c>
      <c r="E475" t="s">
        <v>110</v>
      </c>
      <c r="F475" t="s">
        <v>67</v>
      </c>
      <c r="G475" t="s">
        <v>85</v>
      </c>
      <c r="H475" t="s">
        <v>125</v>
      </c>
      <c r="I475" s="4">
        <v>9247.41</v>
      </c>
      <c r="J475">
        <v>9</v>
      </c>
      <c r="K475" s="2">
        <v>0.15</v>
      </c>
      <c r="L475" s="4">
        <v>381.51</v>
      </c>
      <c r="M475" t="s">
        <v>63</v>
      </c>
      <c r="N475" t="s">
        <v>39</v>
      </c>
      <c r="O475">
        <f>YEAR(Table1[[#This Row],[Order Date]])</f>
        <v>2025</v>
      </c>
      <c r="P475" t="str">
        <f>TEXT(Table1[[#This Row],[Order Date]],"mmmm")</f>
        <v>July</v>
      </c>
      <c r="Q475" t="str">
        <f>TEXT(Table1[[#This Row],[Order Date]],"mm")</f>
        <v>07</v>
      </c>
      <c r="R475" s="2">
        <f>Table1[[#This Row],[Profit]]/Table1[[#This Row],[Sales]]</f>
        <v>4.1255875969595811E-2</v>
      </c>
      <c r="S475" t="str">
        <f t="shared" si="7"/>
        <v>Medium (11-20%)</v>
      </c>
    </row>
    <row r="476" spans="1:19" x14ac:dyDescent="0.2">
      <c r="A476" t="s">
        <v>1098</v>
      </c>
      <c r="B476" s="3" t="s">
        <v>603</v>
      </c>
      <c r="C476" t="s">
        <v>859</v>
      </c>
      <c r="D476" t="s">
        <v>27</v>
      </c>
      <c r="E476" t="s">
        <v>28</v>
      </c>
      <c r="F476" t="s">
        <v>55</v>
      </c>
      <c r="G476" t="s">
        <v>56</v>
      </c>
      <c r="H476" t="s">
        <v>57</v>
      </c>
      <c r="I476" s="4">
        <v>2335.48</v>
      </c>
      <c r="J476">
        <v>4</v>
      </c>
      <c r="K476" s="2">
        <v>0.15</v>
      </c>
      <c r="L476" s="4">
        <v>59.81</v>
      </c>
      <c r="M476" t="s">
        <v>195</v>
      </c>
      <c r="N476" t="s">
        <v>32</v>
      </c>
      <c r="O476">
        <f>YEAR(Table1[[#This Row],[Order Date]])</f>
        <v>2025</v>
      </c>
      <c r="P476" t="str">
        <f>TEXT(Table1[[#This Row],[Order Date]],"mmmm")</f>
        <v>January</v>
      </c>
      <c r="Q476" t="str">
        <f>TEXT(Table1[[#This Row],[Order Date]],"mm")</f>
        <v>01</v>
      </c>
      <c r="R476" s="2">
        <f>Table1[[#This Row],[Profit]]/Table1[[#This Row],[Sales]]</f>
        <v>2.5609296589994349E-2</v>
      </c>
      <c r="S476" t="str">
        <f t="shared" si="7"/>
        <v>Medium (11-20%)</v>
      </c>
    </row>
    <row r="477" spans="1:19" x14ac:dyDescent="0.2">
      <c r="A477" t="s">
        <v>1099</v>
      </c>
      <c r="B477" s="3" t="s">
        <v>1100</v>
      </c>
      <c r="C477" t="s">
        <v>1101</v>
      </c>
      <c r="D477" t="s">
        <v>137</v>
      </c>
      <c r="E477" t="s">
        <v>142</v>
      </c>
      <c r="F477" t="s">
        <v>55</v>
      </c>
      <c r="G477" t="s">
        <v>56</v>
      </c>
      <c r="H477" t="s">
        <v>129</v>
      </c>
      <c r="I477" s="4">
        <v>1310.76</v>
      </c>
      <c r="J477">
        <v>2</v>
      </c>
      <c r="K477" s="2">
        <v>0.3</v>
      </c>
      <c r="L477" s="4">
        <v>-102.92</v>
      </c>
      <c r="M477" t="s">
        <v>195</v>
      </c>
      <c r="N477" t="s">
        <v>32</v>
      </c>
      <c r="O477">
        <f>YEAR(Table1[[#This Row],[Order Date]])</f>
        <v>2024</v>
      </c>
      <c r="P477" t="str">
        <f>TEXT(Table1[[#This Row],[Order Date]],"mmmm")</f>
        <v>December</v>
      </c>
      <c r="Q477" t="str">
        <f>TEXT(Table1[[#This Row],[Order Date]],"mm")</f>
        <v>12</v>
      </c>
      <c r="R477" s="2">
        <f>Table1[[#This Row],[Profit]]/Table1[[#This Row],[Sales]]</f>
        <v>-7.8519332295767338E-2</v>
      </c>
      <c r="S477" t="str">
        <f t="shared" si="7"/>
        <v>High (21-30%)</v>
      </c>
    </row>
    <row r="478" spans="1:19" x14ac:dyDescent="0.2">
      <c r="A478" t="s">
        <v>1102</v>
      </c>
      <c r="B478" s="3" t="s">
        <v>315</v>
      </c>
      <c r="C478" t="s">
        <v>218</v>
      </c>
      <c r="D478" t="s">
        <v>48</v>
      </c>
      <c r="E478" t="s">
        <v>110</v>
      </c>
      <c r="F478" t="s">
        <v>67</v>
      </c>
      <c r="G478" t="s">
        <v>115</v>
      </c>
      <c r="H478" t="s">
        <v>212</v>
      </c>
      <c r="I478" s="4">
        <v>1003.82</v>
      </c>
      <c r="J478">
        <v>1</v>
      </c>
      <c r="K478" s="2">
        <v>0.3</v>
      </c>
      <c r="L478" s="4">
        <v>-33.39</v>
      </c>
      <c r="M478" t="s">
        <v>31</v>
      </c>
      <c r="N478" t="s">
        <v>32</v>
      </c>
      <c r="O478">
        <f>YEAR(Table1[[#This Row],[Order Date]])</f>
        <v>2024</v>
      </c>
      <c r="P478" t="str">
        <f>TEXT(Table1[[#This Row],[Order Date]],"mmmm")</f>
        <v>September</v>
      </c>
      <c r="Q478" t="str">
        <f>TEXT(Table1[[#This Row],[Order Date]],"mm")</f>
        <v>09</v>
      </c>
      <c r="R478" s="2">
        <f>Table1[[#This Row],[Profit]]/Table1[[#This Row],[Sales]]</f>
        <v>-3.3262935586061242E-2</v>
      </c>
      <c r="S478" t="str">
        <f t="shared" si="7"/>
        <v>High (21-30%)</v>
      </c>
    </row>
    <row r="479" spans="1:19" x14ac:dyDescent="0.2">
      <c r="A479" t="s">
        <v>1103</v>
      </c>
      <c r="B479" s="3" t="s">
        <v>232</v>
      </c>
      <c r="C479" t="s">
        <v>96</v>
      </c>
      <c r="D479" t="s">
        <v>137</v>
      </c>
      <c r="E479" t="s">
        <v>138</v>
      </c>
      <c r="F479" t="s">
        <v>67</v>
      </c>
      <c r="G479" t="s">
        <v>115</v>
      </c>
      <c r="H479" t="s">
        <v>178</v>
      </c>
      <c r="I479" s="4">
        <v>1354.74</v>
      </c>
      <c r="J479">
        <v>2</v>
      </c>
      <c r="K479" s="2">
        <v>0.2</v>
      </c>
      <c r="L479" s="4">
        <v>-69.84</v>
      </c>
      <c r="M479" t="s">
        <v>44</v>
      </c>
      <c r="N479" t="s">
        <v>39</v>
      </c>
      <c r="O479">
        <f>YEAR(Table1[[#This Row],[Order Date]])</f>
        <v>2024</v>
      </c>
      <c r="P479" t="str">
        <f>TEXT(Table1[[#This Row],[Order Date]],"mmmm")</f>
        <v>September</v>
      </c>
      <c r="Q479" t="str">
        <f>TEXT(Table1[[#This Row],[Order Date]],"mm")</f>
        <v>09</v>
      </c>
      <c r="R479" s="2">
        <f>Table1[[#This Row],[Profit]]/Table1[[#This Row],[Sales]]</f>
        <v>-5.1552327383852257E-2</v>
      </c>
      <c r="S479" t="str">
        <f t="shared" si="7"/>
        <v>Medium (11-20%)</v>
      </c>
    </row>
    <row r="480" spans="1:19" x14ac:dyDescent="0.2">
      <c r="A480" t="s">
        <v>1104</v>
      </c>
      <c r="B480" s="3" t="s">
        <v>1105</v>
      </c>
      <c r="C480" t="s">
        <v>1106</v>
      </c>
      <c r="D480" t="s">
        <v>27</v>
      </c>
      <c r="E480" t="s">
        <v>43</v>
      </c>
      <c r="F480" t="s">
        <v>55</v>
      </c>
      <c r="G480" t="s">
        <v>98</v>
      </c>
      <c r="H480" t="s">
        <v>154</v>
      </c>
      <c r="I480" s="4">
        <v>5809.86</v>
      </c>
      <c r="J480">
        <v>6</v>
      </c>
      <c r="K480" s="2">
        <v>0.15</v>
      </c>
      <c r="L480" s="4">
        <v>-469.45</v>
      </c>
      <c r="M480" t="s">
        <v>31</v>
      </c>
      <c r="N480" t="s">
        <v>76</v>
      </c>
      <c r="O480">
        <f>YEAR(Table1[[#This Row],[Order Date]])</f>
        <v>2024</v>
      </c>
      <c r="P480" t="str">
        <f>TEXT(Table1[[#This Row],[Order Date]],"mmmm")</f>
        <v>April</v>
      </c>
      <c r="Q480" t="str">
        <f>TEXT(Table1[[#This Row],[Order Date]],"mm")</f>
        <v>04</v>
      </c>
      <c r="R480" s="2">
        <f>Table1[[#This Row],[Profit]]/Table1[[#This Row],[Sales]]</f>
        <v>-8.0802291277242477E-2</v>
      </c>
      <c r="S480" t="str">
        <f t="shared" si="7"/>
        <v>Medium (11-20%)</v>
      </c>
    </row>
    <row r="481" spans="1:19" x14ac:dyDescent="0.2">
      <c r="A481" t="s">
        <v>1107</v>
      </c>
      <c r="B481" s="3" t="s">
        <v>845</v>
      </c>
      <c r="C481" t="s">
        <v>859</v>
      </c>
      <c r="D481" t="s">
        <v>48</v>
      </c>
      <c r="E481" t="s">
        <v>73</v>
      </c>
      <c r="F481" t="s">
        <v>19</v>
      </c>
      <c r="G481" t="s">
        <v>20</v>
      </c>
      <c r="H481" t="s">
        <v>347</v>
      </c>
      <c r="I481" s="4">
        <v>1242.6400000000001</v>
      </c>
      <c r="J481">
        <v>8</v>
      </c>
      <c r="K481" s="2">
        <v>0.05</v>
      </c>
      <c r="L481" s="4">
        <v>58.03</v>
      </c>
      <c r="M481" t="s">
        <v>38</v>
      </c>
      <c r="N481" t="s">
        <v>32</v>
      </c>
      <c r="O481">
        <f>YEAR(Table1[[#This Row],[Order Date]])</f>
        <v>2024</v>
      </c>
      <c r="P481" t="str">
        <f>TEXT(Table1[[#This Row],[Order Date]],"mmmm")</f>
        <v>May</v>
      </c>
      <c r="Q481" t="str">
        <f>TEXT(Table1[[#This Row],[Order Date]],"mm")</f>
        <v>05</v>
      </c>
      <c r="R481" s="2">
        <f>Table1[[#This Row],[Profit]]/Table1[[#This Row],[Sales]]</f>
        <v>4.6698963497070749E-2</v>
      </c>
      <c r="S481" t="str">
        <f t="shared" si="7"/>
        <v>Low (1-10%)</v>
      </c>
    </row>
    <row r="482" spans="1:19" x14ac:dyDescent="0.2">
      <c r="A482" t="s">
        <v>1108</v>
      </c>
      <c r="B482" s="3" t="s">
        <v>1109</v>
      </c>
      <c r="C482" t="s">
        <v>114</v>
      </c>
      <c r="D482" t="s">
        <v>137</v>
      </c>
      <c r="E482" t="s">
        <v>242</v>
      </c>
      <c r="F482" t="s">
        <v>67</v>
      </c>
      <c r="G482" t="s">
        <v>115</v>
      </c>
      <c r="H482" t="s">
        <v>116</v>
      </c>
      <c r="I482" s="4">
        <v>2919.12</v>
      </c>
      <c r="J482">
        <v>3</v>
      </c>
      <c r="K482" s="2">
        <v>0.15</v>
      </c>
      <c r="L482" s="4">
        <v>140.53</v>
      </c>
      <c r="M482" t="s">
        <v>107</v>
      </c>
      <c r="N482" t="s">
        <v>23</v>
      </c>
      <c r="O482">
        <f>YEAR(Table1[[#This Row],[Order Date]])</f>
        <v>2025</v>
      </c>
      <c r="P482" t="str">
        <f>TEXT(Table1[[#This Row],[Order Date]],"mmmm")</f>
        <v>October</v>
      </c>
      <c r="Q482" t="str">
        <f>TEXT(Table1[[#This Row],[Order Date]],"mm")</f>
        <v>10</v>
      </c>
      <c r="R482" s="2">
        <f>Table1[[#This Row],[Profit]]/Table1[[#This Row],[Sales]]</f>
        <v>4.8141220641837269E-2</v>
      </c>
      <c r="S482" t="str">
        <f t="shared" si="7"/>
        <v>Medium (11-20%)</v>
      </c>
    </row>
    <row r="483" spans="1:19" x14ac:dyDescent="0.2">
      <c r="A483" t="s">
        <v>1110</v>
      </c>
      <c r="B483" s="3" t="s">
        <v>1111</v>
      </c>
      <c r="C483" t="s">
        <v>286</v>
      </c>
      <c r="D483" t="s">
        <v>48</v>
      </c>
      <c r="E483" t="s">
        <v>110</v>
      </c>
      <c r="F483" t="s">
        <v>55</v>
      </c>
      <c r="G483" t="s">
        <v>98</v>
      </c>
      <c r="H483" t="s">
        <v>154</v>
      </c>
      <c r="I483" s="4">
        <v>2424.39</v>
      </c>
      <c r="J483">
        <v>3</v>
      </c>
      <c r="K483" s="2">
        <v>0.1</v>
      </c>
      <c r="L483" s="4">
        <v>370.12</v>
      </c>
      <c r="M483" t="s">
        <v>195</v>
      </c>
      <c r="N483" t="s">
        <v>32</v>
      </c>
      <c r="O483">
        <f>YEAR(Table1[[#This Row],[Order Date]])</f>
        <v>2024</v>
      </c>
      <c r="P483" t="str">
        <f>TEXT(Table1[[#This Row],[Order Date]],"mmmm")</f>
        <v>November</v>
      </c>
      <c r="Q483" t="str">
        <f>TEXT(Table1[[#This Row],[Order Date]],"mm")</f>
        <v>11</v>
      </c>
      <c r="R483" s="2">
        <f>Table1[[#This Row],[Profit]]/Table1[[#This Row],[Sales]]</f>
        <v>0.15266520650555399</v>
      </c>
      <c r="S483" t="str">
        <f t="shared" si="7"/>
        <v>Low (1-10%)</v>
      </c>
    </row>
    <row r="484" spans="1:19" x14ac:dyDescent="0.2">
      <c r="A484" t="s">
        <v>1112</v>
      </c>
      <c r="B484" s="3" t="s">
        <v>525</v>
      </c>
      <c r="C484" t="s">
        <v>106</v>
      </c>
      <c r="D484" t="s">
        <v>137</v>
      </c>
      <c r="E484" t="s">
        <v>242</v>
      </c>
      <c r="F484" t="s">
        <v>55</v>
      </c>
      <c r="G484" t="s">
        <v>74</v>
      </c>
      <c r="H484" t="s">
        <v>272</v>
      </c>
      <c r="I484" s="4">
        <v>4942.5</v>
      </c>
      <c r="J484">
        <v>5</v>
      </c>
      <c r="K484" s="2">
        <v>0.05</v>
      </c>
      <c r="L484" s="4">
        <v>1137.3699999999999</v>
      </c>
      <c r="M484" t="s">
        <v>38</v>
      </c>
      <c r="N484" t="s">
        <v>76</v>
      </c>
      <c r="O484">
        <f>YEAR(Table1[[#This Row],[Order Date]])</f>
        <v>2024</v>
      </c>
      <c r="P484" t="str">
        <f>TEXT(Table1[[#This Row],[Order Date]],"mmmm")</f>
        <v>October</v>
      </c>
      <c r="Q484" t="str">
        <f>TEXT(Table1[[#This Row],[Order Date]],"mm")</f>
        <v>10</v>
      </c>
      <c r="R484" s="2">
        <f>Table1[[#This Row],[Profit]]/Table1[[#This Row],[Sales]]</f>
        <v>0.23012038442083962</v>
      </c>
      <c r="S484" t="str">
        <f t="shared" si="7"/>
        <v>Low (1-10%)</v>
      </c>
    </row>
    <row r="485" spans="1:19" x14ac:dyDescent="0.2">
      <c r="A485" t="s">
        <v>1113</v>
      </c>
      <c r="B485" s="3" t="s">
        <v>1114</v>
      </c>
      <c r="C485" t="s">
        <v>859</v>
      </c>
      <c r="D485" t="s">
        <v>17</v>
      </c>
      <c r="E485" t="s">
        <v>97</v>
      </c>
      <c r="F485" t="s">
        <v>55</v>
      </c>
      <c r="G485" t="s">
        <v>98</v>
      </c>
      <c r="H485" t="s">
        <v>154</v>
      </c>
      <c r="I485" s="4">
        <v>6463.38</v>
      </c>
      <c r="J485">
        <v>7</v>
      </c>
      <c r="K485" s="2">
        <v>0</v>
      </c>
      <c r="L485" s="4">
        <v>2258.39</v>
      </c>
      <c r="M485" t="s">
        <v>22</v>
      </c>
      <c r="N485" t="s">
        <v>32</v>
      </c>
      <c r="O485">
        <f>YEAR(Table1[[#This Row],[Order Date]])</f>
        <v>2025</v>
      </c>
      <c r="P485" t="str">
        <f>TEXT(Table1[[#This Row],[Order Date]],"mmmm")</f>
        <v>January</v>
      </c>
      <c r="Q485" t="str">
        <f>TEXT(Table1[[#This Row],[Order Date]],"mm")</f>
        <v>01</v>
      </c>
      <c r="R485" s="2">
        <f>Table1[[#This Row],[Profit]]/Table1[[#This Row],[Sales]]</f>
        <v>0.34941315534596445</v>
      </c>
      <c r="S485" t="str">
        <f t="shared" si="7"/>
        <v>No Discount</v>
      </c>
    </row>
    <row r="486" spans="1:19" x14ac:dyDescent="0.2">
      <c r="A486" t="s">
        <v>1115</v>
      </c>
      <c r="B486" s="3" t="s">
        <v>590</v>
      </c>
      <c r="C486" t="s">
        <v>297</v>
      </c>
      <c r="D486" t="s">
        <v>27</v>
      </c>
      <c r="E486" t="s">
        <v>28</v>
      </c>
      <c r="F486" t="s">
        <v>55</v>
      </c>
      <c r="G486" t="s">
        <v>98</v>
      </c>
      <c r="H486" t="s">
        <v>99</v>
      </c>
      <c r="I486" s="4">
        <v>239.2</v>
      </c>
      <c r="J486">
        <v>10</v>
      </c>
      <c r="K486" s="2">
        <v>0</v>
      </c>
      <c r="L486" s="4">
        <v>95.36</v>
      </c>
      <c r="M486" t="s">
        <v>63</v>
      </c>
      <c r="N486" t="s">
        <v>76</v>
      </c>
      <c r="O486">
        <f>YEAR(Table1[[#This Row],[Order Date]])</f>
        <v>2024</v>
      </c>
      <c r="P486" t="str">
        <f>TEXT(Table1[[#This Row],[Order Date]],"mmmm")</f>
        <v>July</v>
      </c>
      <c r="Q486" t="str">
        <f>TEXT(Table1[[#This Row],[Order Date]],"mm")</f>
        <v>07</v>
      </c>
      <c r="R486" s="2">
        <f>Table1[[#This Row],[Profit]]/Table1[[#This Row],[Sales]]</f>
        <v>0.39866220735785957</v>
      </c>
      <c r="S486" t="str">
        <f t="shared" si="7"/>
        <v>No Discount</v>
      </c>
    </row>
    <row r="487" spans="1:19" x14ac:dyDescent="0.2">
      <c r="A487" t="s">
        <v>1116</v>
      </c>
      <c r="B487" s="3" t="s">
        <v>92</v>
      </c>
      <c r="C487" t="s">
        <v>183</v>
      </c>
      <c r="D487" t="s">
        <v>27</v>
      </c>
      <c r="E487" t="s">
        <v>43</v>
      </c>
      <c r="F487" t="s">
        <v>19</v>
      </c>
      <c r="G487" t="s">
        <v>36</v>
      </c>
      <c r="H487" t="s">
        <v>111</v>
      </c>
      <c r="I487" s="4">
        <v>8023.4</v>
      </c>
      <c r="J487">
        <v>10</v>
      </c>
      <c r="K487" s="2">
        <v>0.15</v>
      </c>
      <c r="L487" s="4">
        <v>273.51</v>
      </c>
      <c r="M487" t="s">
        <v>117</v>
      </c>
      <c r="N487" t="s">
        <v>32</v>
      </c>
      <c r="O487">
        <f>YEAR(Table1[[#This Row],[Order Date]])</f>
        <v>2025</v>
      </c>
      <c r="P487" t="str">
        <f>TEXT(Table1[[#This Row],[Order Date]],"mmmm")</f>
        <v>May</v>
      </c>
      <c r="Q487" t="str">
        <f>TEXT(Table1[[#This Row],[Order Date]],"mm")</f>
        <v>05</v>
      </c>
      <c r="R487" s="2">
        <f>Table1[[#This Row],[Profit]]/Table1[[#This Row],[Sales]]</f>
        <v>3.4089039559289082E-2</v>
      </c>
      <c r="S487" t="str">
        <f t="shared" si="7"/>
        <v>Medium (11-20%)</v>
      </c>
    </row>
    <row r="488" spans="1:19" x14ac:dyDescent="0.2">
      <c r="A488" t="s">
        <v>1117</v>
      </c>
      <c r="B488" s="3" t="s">
        <v>237</v>
      </c>
      <c r="C488" t="s">
        <v>275</v>
      </c>
      <c r="D488" t="s">
        <v>137</v>
      </c>
      <c r="E488" t="s">
        <v>160</v>
      </c>
      <c r="F488" t="s">
        <v>19</v>
      </c>
      <c r="G488" t="s">
        <v>29</v>
      </c>
      <c r="H488" t="s">
        <v>30</v>
      </c>
      <c r="I488" s="4">
        <v>4682.45</v>
      </c>
      <c r="J488">
        <v>5</v>
      </c>
      <c r="K488" s="2">
        <v>0.05</v>
      </c>
      <c r="L488" s="4">
        <v>395.89</v>
      </c>
      <c r="M488" t="s">
        <v>63</v>
      </c>
      <c r="N488" t="s">
        <v>32</v>
      </c>
      <c r="O488">
        <f>YEAR(Table1[[#This Row],[Order Date]])</f>
        <v>2025</v>
      </c>
      <c r="P488" t="str">
        <f>TEXT(Table1[[#This Row],[Order Date]],"mmmm")</f>
        <v>April</v>
      </c>
      <c r="Q488" t="str">
        <f>TEXT(Table1[[#This Row],[Order Date]],"mm")</f>
        <v>04</v>
      </c>
      <c r="R488" s="2">
        <f>Table1[[#This Row],[Profit]]/Table1[[#This Row],[Sales]]</f>
        <v>8.4547619301861207E-2</v>
      </c>
      <c r="S488" t="str">
        <f t="shared" si="7"/>
        <v>Low (1-10%)</v>
      </c>
    </row>
    <row r="489" spans="1:19" x14ac:dyDescent="0.2">
      <c r="A489" t="s">
        <v>1118</v>
      </c>
      <c r="B489" s="3" t="s">
        <v>1119</v>
      </c>
      <c r="C489" t="s">
        <v>281</v>
      </c>
      <c r="D489" t="s">
        <v>48</v>
      </c>
      <c r="E489" t="s">
        <v>84</v>
      </c>
      <c r="F489" t="s">
        <v>67</v>
      </c>
      <c r="G489" t="s">
        <v>115</v>
      </c>
      <c r="H489" t="s">
        <v>212</v>
      </c>
      <c r="I489" s="4">
        <v>1015.16</v>
      </c>
      <c r="J489">
        <v>1</v>
      </c>
      <c r="K489" s="2">
        <v>0.25</v>
      </c>
      <c r="L489" s="4">
        <v>2.0299999999999998</v>
      </c>
      <c r="M489" t="s">
        <v>107</v>
      </c>
      <c r="N489" t="s">
        <v>76</v>
      </c>
      <c r="O489">
        <f>YEAR(Table1[[#This Row],[Order Date]])</f>
        <v>2025</v>
      </c>
      <c r="P489" t="str">
        <f>TEXT(Table1[[#This Row],[Order Date]],"mmmm")</f>
        <v>January</v>
      </c>
      <c r="Q489" t="str">
        <f>TEXT(Table1[[#This Row],[Order Date]],"mm")</f>
        <v>01</v>
      </c>
      <c r="R489" s="2">
        <f>Table1[[#This Row],[Profit]]/Table1[[#This Row],[Sales]]</f>
        <v>1.999684778754088E-3</v>
      </c>
      <c r="S489" t="str">
        <f t="shared" si="7"/>
        <v>High (21-30%)</v>
      </c>
    </row>
    <row r="490" spans="1:19" x14ac:dyDescent="0.2">
      <c r="A490" t="s">
        <v>1120</v>
      </c>
      <c r="B490" s="3" t="s">
        <v>1121</v>
      </c>
      <c r="C490" t="s">
        <v>994</v>
      </c>
      <c r="D490" t="s">
        <v>27</v>
      </c>
      <c r="E490" t="s">
        <v>28</v>
      </c>
      <c r="F490" t="s">
        <v>67</v>
      </c>
      <c r="G490" t="s">
        <v>68</v>
      </c>
      <c r="H490" t="s">
        <v>69</v>
      </c>
      <c r="I490" s="4">
        <v>4673.55</v>
      </c>
      <c r="J490">
        <v>5</v>
      </c>
      <c r="K490" s="2">
        <v>0.15</v>
      </c>
      <c r="L490" s="4">
        <v>-435.35</v>
      </c>
      <c r="M490" t="s">
        <v>44</v>
      </c>
      <c r="N490" t="s">
        <v>39</v>
      </c>
      <c r="O490">
        <f>YEAR(Table1[[#This Row],[Order Date]])</f>
        <v>2024</v>
      </c>
      <c r="P490" t="str">
        <f>TEXT(Table1[[#This Row],[Order Date]],"mmmm")</f>
        <v>May</v>
      </c>
      <c r="Q490" t="str">
        <f>TEXT(Table1[[#This Row],[Order Date]],"mm")</f>
        <v>05</v>
      </c>
      <c r="R490" s="2">
        <f>Table1[[#This Row],[Profit]]/Table1[[#This Row],[Sales]]</f>
        <v>-9.315188668143061E-2</v>
      </c>
      <c r="S490" t="str">
        <f t="shared" si="7"/>
        <v>Medium (11-20%)</v>
      </c>
    </row>
    <row r="491" spans="1:19" x14ac:dyDescent="0.2">
      <c r="A491" t="s">
        <v>1122</v>
      </c>
      <c r="B491" s="3" t="s">
        <v>1123</v>
      </c>
      <c r="C491" t="s">
        <v>1010</v>
      </c>
      <c r="D491" t="s">
        <v>27</v>
      </c>
      <c r="E491" t="s">
        <v>28</v>
      </c>
      <c r="F491" t="s">
        <v>19</v>
      </c>
      <c r="G491" t="s">
        <v>29</v>
      </c>
      <c r="H491" t="s">
        <v>30</v>
      </c>
      <c r="I491" s="4">
        <v>2475.9</v>
      </c>
      <c r="J491">
        <v>3</v>
      </c>
      <c r="K491" s="2">
        <v>0.25</v>
      </c>
      <c r="L491" s="4">
        <v>-76.069999999999993</v>
      </c>
      <c r="M491" t="s">
        <v>22</v>
      </c>
      <c r="N491" t="s">
        <v>76</v>
      </c>
      <c r="O491">
        <f>YEAR(Table1[[#This Row],[Order Date]])</f>
        <v>2024</v>
      </c>
      <c r="P491" t="str">
        <f>TEXT(Table1[[#This Row],[Order Date]],"mmmm")</f>
        <v>August</v>
      </c>
      <c r="Q491" t="str">
        <f>TEXT(Table1[[#This Row],[Order Date]],"mm")</f>
        <v>08</v>
      </c>
      <c r="R491" s="2">
        <f>Table1[[#This Row],[Profit]]/Table1[[#This Row],[Sales]]</f>
        <v>-3.072418110586049E-2</v>
      </c>
      <c r="S491" t="str">
        <f t="shared" si="7"/>
        <v>High (21-30%)</v>
      </c>
    </row>
    <row r="492" spans="1:19" x14ac:dyDescent="0.2">
      <c r="A492" t="s">
        <v>1124</v>
      </c>
      <c r="B492" s="3" t="s">
        <v>101</v>
      </c>
      <c r="C492" t="s">
        <v>846</v>
      </c>
      <c r="D492" t="s">
        <v>27</v>
      </c>
      <c r="E492" t="s">
        <v>28</v>
      </c>
      <c r="F492" t="s">
        <v>55</v>
      </c>
      <c r="G492" t="s">
        <v>98</v>
      </c>
      <c r="H492" t="s">
        <v>150</v>
      </c>
      <c r="I492" s="4">
        <v>609.57000000000005</v>
      </c>
      <c r="J492">
        <v>1</v>
      </c>
      <c r="K492" s="2">
        <v>0.05</v>
      </c>
      <c r="L492" s="4">
        <v>118.43</v>
      </c>
      <c r="M492" t="s">
        <v>117</v>
      </c>
      <c r="N492" t="s">
        <v>23</v>
      </c>
      <c r="O492">
        <f>YEAR(Table1[[#This Row],[Order Date]])</f>
        <v>2025</v>
      </c>
      <c r="P492" t="str">
        <f>TEXT(Table1[[#This Row],[Order Date]],"mmmm")</f>
        <v>March</v>
      </c>
      <c r="Q492" t="str">
        <f>TEXT(Table1[[#This Row],[Order Date]],"mm")</f>
        <v>03</v>
      </c>
      <c r="R492" s="2">
        <f>Table1[[#This Row],[Profit]]/Table1[[#This Row],[Sales]]</f>
        <v>0.19428449562806568</v>
      </c>
      <c r="S492" t="str">
        <f t="shared" si="7"/>
        <v>Low (1-10%)</v>
      </c>
    </row>
    <row r="493" spans="1:19" x14ac:dyDescent="0.2">
      <c r="A493" t="s">
        <v>1125</v>
      </c>
      <c r="B493" s="3" t="s">
        <v>748</v>
      </c>
      <c r="C493" t="s">
        <v>235</v>
      </c>
      <c r="D493" t="s">
        <v>48</v>
      </c>
      <c r="E493" t="s">
        <v>73</v>
      </c>
      <c r="F493" t="s">
        <v>67</v>
      </c>
      <c r="G493" t="s">
        <v>68</v>
      </c>
      <c r="H493" t="s">
        <v>69</v>
      </c>
      <c r="I493" s="4">
        <v>1613.16</v>
      </c>
      <c r="J493">
        <v>3</v>
      </c>
      <c r="K493" s="2">
        <v>0</v>
      </c>
      <c r="L493" s="4">
        <v>481.21</v>
      </c>
      <c r="M493" t="s">
        <v>63</v>
      </c>
      <c r="N493" t="s">
        <v>76</v>
      </c>
      <c r="O493">
        <f>YEAR(Table1[[#This Row],[Order Date]])</f>
        <v>2025</v>
      </c>
      <c r="P493" t="str">
        <f>TEXT(Table1[[#This Row],[Order Date]],"mmmm")</f>
        <v>September</v>
      </c>
      <c r="Q493" t="str">
        <f>TEXT(Table1[[#This Row],[Order Date]],"mm")</f>
        <v>09</v>
      </c>
      <c r="R493" s="2">
        <f>Table1[[#This Row],[Profit]]/Table1[[#This Row],[Sales]]</f>
        <v>0.29830271020853477</v>
      </c>
      <c r="S493" t="str">
        <f t="shared" si="7"/>
        <v>No Discount</v>
      </c>
    </row>
    <row r="494" spans="1:19" x14ac:dyDescent="0.2">
      <c r="A494" t="s">
        <v>1126</v>
      </c>
      <c r="B494" s="3" t="s">
        <v>1127</v>
      </c>
      <c r="C494" t="s">
        <v>468</v>
      </c>
      <c r="D494" t="s">
        <v>17</v>
      </c>
      <c r="E494" t="s">
        <v>54</v>
      </c>
      <c r="F494" t="s">
        <v>55</v>
      </c>
      <c r="G494" t="s">
        <v>56</v>
      </c>
      <c r="H494" t="s">
        <v>129</v>
      </c>
      <c r="I494" s="4">
        <v>4130.5600000000004</v>
      </c>
      <c r="J494">
        <v>8</v>
      </c>
      <c r="K494" s="2">
        <v>0.3</v>
      </c>
      <c r="L494" s="4">
        <v>530.76</v>
      </c>
      <c r="M494" t="s">
        <v>117</v>
      </c>
      <c r="N494" t="s">
        <v>76</v>
      </c>
      <c r="O494">
        <f>YEAR(Table1[[#This Row],[Order Date]])</f>
        <v>2025</v>
      </c>
      <c r="P494" t="str">
        <f>TEXT(Table1[[#This Row],[Order Date]],"mmmm")</f>
        <v>November</v>
      </c>
      <c r="Q494" t="str">
        <f>TEXT(Table1[[#This Row],[Order Date]],"mm")</f>
        <v>11</v>
      </c>
      <c r="R494" s="2">
        <f>Table1[[#This Row],[Profit]]/Table1[[#This Row],[Sales]]</f>
        <v>0.12849589401921288</v>
      </c>
      <c r="S494" t="str">
        <f t="shared" si="7"/>
        <v>High (21-30%)</v>
      </c>
    </row>
    <row r="495" spans="1:19" x14ac:dyDescent="0.2">
      <c r="A495" t="s">
        <v>1128</v>
      </c>
      <c r="B495" s="3" t="s">
        <v>1129</v>
      </c>
      <c r="C495" t="s">
        <v>1056</v>
      </c>
      <c r="D495" t="s">
        <v>137</v>
      </c>
      <c r="E495" t="s">
        <v>138</v>
      </c>
      <c r="F495" t="s">
        <v>55</v>
      </c>
      <c r="G495" t="s">
        <v>74</v>
      </c>
      <c r="H495" t="s">
        <v>272</v>
      </c>
      <c r="I495" s="4">
        <v>928.89</v>
      </c>
      <c r="J495">
        <v>9</v>
      </c>
      <c r="K495" s="2">
        <v>0.1</v>
      </c>
      <c r="L495" s="4">
        <v>272</v>
      </c>
      <c r="M495" t="s">
        <v>143</v>
      </c>
      <c r="N495" t="s">
        <v>76</v>
      </c>
      <c r="O495">
        <f>YEAR(Table1[[#This Row],[Order Date]])</f>
        <v>2024</v>
      </c>
      <c r="P495" t="str">
        <f>TEXT(Table1[[#This Row],[Order Date]],"mmmm")</f>
        <v>March</v>
      </c>
      <c r="Q495" t="str">
        <f>TEXT(Table1[[#This Row],[Order Date]],"mm")</f>
        <v>03</v>
      </c>
      <c r="R495" s="2">
        <f>Table1[[#This Row],[Profit]]/Table1[[#This Row],[Sales]]</f>
        <v>0.29282261624088968</v>
      </c>
      <c r="S495" t="str">
        <f t="shared" si="7"/>
        <v>Low (1-10%)</v>
      </c>
    </row>
    <row r="496" spans="1:19" x14ac:dyDescent="0.2">
      <c r="A496" t="s">
        <v>1130</v>
      </c>
      <c r="B496" s="3" t="s">
        <v>692</v>
      </c>
      <c r="C496" t="s">
        <v>535</v>
      </c>
      <c r="D496" t="s">
        <v>17</v>
      </c>
      <c r="E496" t="s">
        <v>54</v>
      </c>
      <c r="F496" t="s">
        <v>19</v>
      </c>
      <c r="G496" t="s">
        <v>29</v>
      </c>
      <c r="H496" t="s">
        <v>50</v>
      </c>
      <c r="I496" s="4">
        <v>2542.86</v>
      </c>
      <c r="J496">
        <v>9</v>
      </c>
      <c r="K496" s="2">
        <v>0.15</v>
      </c>
      <c r="L496" s="4">
        <v>-171.97</v>
      </c>
      <c r="M496" t="s">
        <v>107</v>
      </c>
      <c r="N496" t="s">
        <v>32</v>
      </c>
      <c r="O496">
        <f>YEAR(Table1[[#This Row],[Order Date]])</f>
        <v>2025</v>
      </c>
      <c r="P496" t="str">
        <f>TEXT(Table1[[#This Row],[Order Date]],"mmmm")</f>
        <v>June</v>
      </c>
      <c r="Q496" t="str">
        <f>TEXT(Table1[[#This Row],[Order Date]],"mm")</f>
        <v>06</v>
      </c>
      <c r="R496" s="2">
        <f>Table1[[#This Row],[Profit]]/Table1[[#This Row],[Sales]]</f>
        <v>-6.7628575698229554E-2</v>
      </c>
      <c r="S496" t="str">
        <f t="shared" si="7"/>
        <v>Medium (11-20%)</v>
      </c>
    </row>
    <row r="497" spans="1:19" x14ac:dyDescent="0.2">
      <c r="A497" t="s">
        <v>1131</v>
      </c>
      <c r="B497" s="3" t="s">
        <v>1132</v>
      </c>
      <c r="C497" t="s">
        <v>281</v>
      </c>
      <c r="D497" t="s">
        <v>17</v>
      </c>
      <c r="E497" t="s">
        <v>54</v>
      </c>
      <c r="F497" t="s">
        <v>19</v>
      </c>
      <c r="G497" t="s">
        <v>29</v>
      </c>
      <c r="H497" t="s">
        <v>50</v>
      </c>
      <c r="I497" s="4">
        <v>2045.12</v>
      </c>
      <c r="J497">
        <v>2</v>
      </c>
      <c r="K497" s="2">
        <v>0.1</v>
      </c>
      <c r="L497" s="4">
        <v>224.35</v>
      </c>
      <c r="M497" t="s">
        <v>44</v>
      </c>
      <c r="N497" t="s">
        <v>76</v>
      </c>
      <c r="O497">
        <f>YEAR(Table1[[#This Row],[Order Date]])</f>
        <v>2024</v>
      </c>
      <c r="P497" t="str">
        <f>TEXT(Table1[[#This Row],[Order Date]],"mmmm")</f>
        <v>August</v>
      </c>
      <c r="Q497" t="str">
        <f>TEXT(Table1[[#This Row],[Order Date]],"mm")</f>
        <v>08</v>
      </c>
      <c r="R497" s="2">
        <f>Table1[[#This Row],[Profit]]/Table1[[#This Row],[Sales]]</f>
        <v>0.10970016429353779</v>
      </c>
      <c r="S497" t="str">
        <f t="shared" si="7"/>
        <v>Low (1-10%)</v>
      </c>
    </row>
    <row r="498" spans="1:19" x14ac:dyDescent="0.2">
      <c r="A498" t="s">
        <v>1133</v>
      </c>
      <c r="B498" s="3" t="s">
        <v>1134</v>
      </c>
      <c r="C498" t="s">
        <v>455</v>
      </c>
      <c r="D498" t="s">
        <v>137</v>
      </c>
      <c r="E498" t="s">
        <v>142</v>
      </c>
      <c r="F498" t="s">
        <v>67</v>
      </c>
      <c r="G498" t="s">
        <v>115</v>
      </c>
      <c r="H498" t="s">
        <v>178</v>
      </c>
      <c r="I498" s="4">
        <v>259.10000000000002</v>
      </c>
      <c r="J498">
        <v>5</v>
      </c>
      <c r="K498" s="2">
        <v>0.05</v>
      </c>
      <c r="L498" s="4">
        <v>52.34</v>
      </c>
      <c r="M498" t="s">
        <v>195</v>
      </c>
      <c r="N498" t="s">
        <v>39</v>
      </c>
      <c r="O498">
        <f>YEAR(Table1[[#This Row],[Order Date]])</f>
        <v>2024</v>
      </c>
      <c r="P498" t="str">
        <f>TEXT(Table1[[#This Row],[Order Date]],"mmmm")</f>
        <v>November</v>
      </c>
      <c r="Q498" t="str">
        <f>TEXT(Table1[[#This Row],[Order Date]],"mm")</f>
        <v>11</v>
      </c>
      <c r="R498" s="2">
        <f>Table1[[#This Row],[Profit]]/Table1[[#This Row],[Sales]]</f>
        <v>0.2020069471246623</v>
      </c>
      <c r="S498" t="str">
        <f t="shared" si="7"/>
        <v>Low (1-10%)</v>
      </c>
    </row>
    <row r="499" spans="1:19" x14ac:dyDescent="0.2">
      <c r="A499" t="s">
        <v>1135</v>
      </c>
      <c r="B499" s="3" t="s">
        <v>1136</v>
      </c>
      <c r="C499" t="s">
        <v>797</v>
      </c>
      <c r="D499" t="s">
        <v>17</v>
      </c>
      <c r="E499" t="s">
        <v>97</v>
      </c>
      <c r="F499" t="s">
        <v>67</v>
      </c>
      <c r="G499" t="s">
        <v>115</v>
      </c>
      <c r="H499" t="s">
        <v>178</v>
      </c>
      <c r="I499" s="4">
        <v>3064.02</v>
      </c>
      <c r="J499">
        <v>6</v>
      </c>
      <c r="K499" s="2">
        <v>0.25</v>
      </c>
      <c r="L499" s="4">
        <v>-445.34</v>
      </c>
      <c r="M499" t="s">
        <v>31</v>
      </c>
      <c r="N499" t="s">
        <v>39</v>
      </c>
      <c r="O499">
        <f>YEAR(Table1[[#This Row],[Order Date]])</f>
        <v>2024</v>
      </c>
      <c r="P499" t="str">
        <f>TEXT(Table1[[#This Row],[Order Date]],"mmmm")</f>
        <v>December</v>
      </c>
      <c r="Q499" t="str">
        <f>TEXT(Table1[[#This Row],[Order Date]],"mm")</f>
        <v>12</v>
      </c>
      <c r="R499" s="2">
        <f>Table1[[#This Row],[Profit]]/Table1[[#This Row],[Sales]]</f>
        <v>-0.14534500427542901</v>
      </c>
      <c r="S499" t="str">
        <f t="shared" si="7"/>
        <v>High (21-30%)</v>
      </c>
    </row>
    <row r="500" spans="1:19" x14ac:dyDescent="0.2">
      <c r="A500" t="s">
        <v>1137</v>
      </c>
      <c r="B500" s="3" t="s">
        <v>1060</v>
      </c>
      <c r="C500" t="s">
        <v>434</v>
      </c>
      <c r="D500" t="s">
        <v>137</v>
      </c>
      <c r="E500" t="s">
        <v>160</v>
      </c>
      <c r="F500" t="s">
        <v>19</v>
      </c>
      <c r="G500" t="s">
        <v>20</v>
      </c>
      <c r="H500" t="s">
        <v>239</v>
      </c>
      <c r="I500" s="4">
        <v>4347.55</v>
      </c>
      <c r="J500">
        <v>5</v>
      </c>
      <c r="K500" s="2">
        <v>0.3</v>
      </c>
      <c r="L500" s="4">
        <v>427.34</v>
      </c>
      <c r="M500" t="s">
        <v>117</v>
      </c>
      <c r="N500" t="s">
        <v>76</v>
      </c>
      <c r="O500">
        <f>YEAR(Table1[[#This Row],[Order Date]])</f>
        <v>2024</v>
      </c>
      <c r="P500" t="str">
        <f>TEXT(Table1[[#This Row],[Order Date]],"mmmm")</f>
        <v>March</v>
      </c>
      <c r="Q500" t="str">
        <f>TEXT(Table1[[#This Row],[Order Date]],"mm")</f>
        <v>03</v>
      </c>
      <c r="R500" s="2">
        <f>Table1[[#This Row],[Profit]]/Table1[[#This Row],[Sales]]</f>
        <v>9.8294441697047749E-2</v>
      </c>
      <c r="S500" t="str">
        <f t="shared" si="7"/>
        <v>High (21-30%)</v>
      </c>
    </row>
    <row r="501" spans="1:19" x14ac:dyDescent="0.2">
      <c r="A501" t="s">
        <v>1138</v>
      </c>
      <c r="B501" s="3" t="s">
        <v>1139</v>
      </c>
      <c r="C501" t="s">
        <v>942</v>
      </c>
      <c r="D501" t="s">
        <v>48</v>
      </c>
      <c r="E501" t="s">
        <v>110</v>
      </c>
      <c r="F501" t="s">
        <v>19</v>
      </c>
      <c r="G501" t="s">
        <v>29</v>
      </c>
      <c r="H501" t="s">
        <v>30</v>
      </c>
      <c r="I501" s="4">
        <v>524.20000000000005</v>
      </c>
      <c r="J501">
        <v>2</v>
      </c>
      <c r="K501" s="2">
        <v>0.1</v>
      </c>
      <c r="L501" s="4">
        <v>107.96</v>
      </c>
      <c r="M501" t="s">
        <v>44</v>
      </c>
      <c r="N501" t="s">
        <v>39</v>
      </c>
      <c r="O501">
        <f>YEAR(Table1[[#This Row],[Order Date]])</f>
        <v>2025</v>
      </c>
      <c r="P501" t="str">
        <f>TEXT(Table1[[#This Row],[Order Date]],"mmmm")</f>
        <v>May</v>
      </c>
      <c r="Q501" t="str">
        <f>TEXT(Table1[[#This Row],[Order Date]],"mm")</f>
        <v>05</v>
      </c>
      <c r="R501" s="2">
        <f>Table1[[#This Row],[Profit]]/Table1[[#This Row],[Sales]]</f>
        <v>0.20595192674551696</v>
      </c>
      <c r="S501" t="str">
        <f t="shared" si="7"/>
        <v>Low (1-10%)</v>
      </c>
    </row>
    <row r="502" spans="1:19" x14ac:dyDescent="0.2">
      <c r="A502" t="s">
        <v>1140</v>
      </c>
      <c r="B502" s="3" t="s">
        <v>780</v>
      </c>
      <c r="C502" t="s">
        <v>906</v>
      </c>
      <c r="D502" t="s">
        <v>17</v>
      </c>
      <c r="E502" t="s">
        <v>54</v>
      </c>
      <c r="F502" t="s">
        <v>55</v>
      </c>
      <c r="G502" t="s">
        <v>74</v>
      </c>
      <c r="H502" t="s">
        <v>272</v>
      </c>
      <c r="I502" s="4">
        <v>948.69</v>
      </c>
      <c r="J502">
        <v>3</v>
      </c>
      <c r="K502" s="2">
        <v>0.3</v>
      </c>
      <c r="L502" s="4">
        <v>58.21</v>
      </c>
      <c r="M502" t="s">
        <v>63</v>
      </c>
      <c r="N502" t="s">
        <v>32</v>
      </c>
      <c r="O502">
        <f>YEAR(Table1[[#This Row],[Order Date]])</f>
        <v>2024</v>
      </c>
      <c r="P502" t="str">
        <f>TEXT(Table1[[#This Row],[Order Date]],"mmmm")</f>
        <v>December</v>
      </c>
      <c r="Q502" t="str">
        <f>TEXT(Table1[[#This Row],[Order Date]],"mm")</f>
        <v>12</v>
      </c>
      <c r="R502" s="2">
        <f>Table1[[#This Row],[Profit]]/Table1[[#This Row],[Sales]]</f>
        <v>6.1358294068663104E-2</v>
      </c>
      <c r="S502" t="str">
        <f t="shared" si="7"/>
        <v>High (21-30%)</v>
      </c>
    </row>
    <row r="503" spans="1:19" x14ac:dyDescent="0.2">
      <c r="A503" t="s">
        <v>1141</v>
      </c>
      <c r="B503" s="3" t="s">
        <v>1142</v>
      </c>
      <c r="C503" t="s">
        <v>843</v>
      </c>
      <c r="D503" t="s">
        <v>27</v>
      </c>
      <c r="E503" t="s">
        <v>28</v>
      </c>
      <c r="F503" t="s">
        <v>19</v>
      </c>
      <c r="G503" t="s">
        <v>20</v>
      </c>
      <c r="H503" t="s">
        <v>21</v>
      </c>
      <c r="I503" s="4">
        <v>6138.48</v>
      </c>
      <c r="J503">
        <v>8</v>
      </c>
      <c r="K503" s="2">
        <v>0.25</v>
      </c>
      <c r="L503" s="4">
        <v>680.39</v>
      </c>
      <c r="M503" t="s">
        <v>31</v>
      </c>
      <c r="N503" t="s">
        <v>39</v>
      </c>
      <c r="O503">
        <f>YEAR(Table1[[#This Row],[Order Date]])</f>
        <v>2025</v>
      </c>
      <c r="P503" t="str">
        <f>TEXT(Table1[[#This Row],[Order Date]],"mmmm")</f>
        <v>January</v>
      </c>
      <c r="Q503" t="str">
        <f>TEXT(Table1[[#This Row],[Order Date]],"mm")</f>
        <v>01</v>
      </c>
      <c r="R503" s="2">
        <f>Table1[[#This Row],[Profit]]/Table1[[#This Row],[Sales]]</f>
        <v>0.11084014283666316</v>
      </c>
      <c r="S503" t="str">
        <f t="shared" si="7"/>
        <v>High (21-30%)</v>
      </c>
    </row>
    <row r="504" spans="1:19" x14ac:dyDescent="0.2">
      <c r="A504" t="s">
        <v>1143</v>
      </c>
      <c r="B504" s="3" t="s">
        <v>1144</v>
      </c>
      <c r="C504" t="s">
        <v>120</v>
      </c>
      <c r="D504" t="s">
        <v>17</v>
      </c>
      <c r="E504" t="s">
        <v>18</v>
      </c>
      <c r="F504" t="s">
        <v>19</v>
      </c>
      <c r="G504" t="s">
        <v>20</v>
      </c>
      <c r="H504" t="s">
        <v>21</v>
      </c>
      <c r="I504" s="4">
        <v>1347.44</v>
      </c>
      <c r="J504">
        <v>4</v>
      </c>
      <c r="K504" s="2">
        <v>0.2</v>
      </c>
      <c r="L504" s="4">
        <v>241.67</v>
      </c>
      <c r="M504" t="s">
        <v>87</v>
      </c>
      <c r="N504" t="s">
        <v>76</v>
      </c>
      <c r="O504">
        <f>YEAR(Table1[[#This Row],[Order Date]])</f>
        <v>2024</v>
      </c>
      <c r="P504" t="str">
        <f>TEXT(Table1[[#This Row],[Order Date]],"mmmm")</f>
        <v>October</v>
      </c>
      <c r="Q504" t="str">
        <f>TEXT(Table1[[#This Row],[Order Date]],"mm")</f>
        <v>10</v>
      </c>
      <c r="R504" s="2">
        <f>Table1[[#This Row],[Profit]]/Table1[[#This Row],[Sales]]</f>
        <v>0.17935492489461496</v>
      </c>
      <c r="S504" t="str">
        <f t="shared" si="7"/>
        <v>Medium (11-20%)</v>
      </c>
    </row>
    <row r="505" spans="1:19" x14ac:dyDescent="0.2">
      <c r="A505" t="s">
        <v>1145</v>
      </c>
      <c r="B505" s="3" t="s">
        <v>1123</v>
      </c>
      <c r="C505" t="s">
        <v>265</v>
      </c>
      <c r="D505" t="s">
        <v>27</v>
      </c>
      <c r="E505" t="s">
        <v>61</v>
      </c>
      <c r="F505" t="s">
        <v>55</v>
      </c>
      <c r="G505" t="s">
        <v>56</v>
      </c>
      <c r="H505" t="s">
        <v>57</v>
      </c>
      <c r="I505" s="4">
        <v>3934.32</v>
      </c>
      <c r="J505">
        <v>6</v>
      </c>
      <c r="K505" s="2">
        <v>0.3</v>
      </c>
      <c r="L505" s="4">
        <v>-120.02</v>
      </c>
      <c r="M505" t="s">
        <v>44</v>
      </c>
      <c r="N505" t="s">
        <v>32</v>
      </c>
      <c r="O505">
        <f>YEAR(Table1[[#This Row],[Order Date]])</f>
        <v>2024</v>
      </c>
      <c r="P505" t="str">
        <f>TEXT(Table1[[#This Row],[Order Date]],"mmmm")</f>
        <v>August</v>
      </c>
      <c r="Q505" t="str">
        <f>TEXT(Table1[[#This Row],[Order Date]],"mm")</f>
        <v>08</v>
      </c>
      <c r="R505" s="2">
        <f>Table1[[#This Row],[Profit]]/Table1[[#This Row],[Sales]]</f>
        <v>-3.0505906992822136E-2</v>
      </c>
      <c r="S505" t="str">
        <f t="shared" si="7"/>
        <v>High (21-30%)</v>
      </c>
    </row>
    <row r="506" spans="1:19" x14ac:dyDescent="0.2">
      <c r="A506" t="s">
        <v>1146</v>
      </c>
      <c r="B506" s="3" t="s">
        <v>1147</v>
      </c>
      <c r="C506" t="s">
        <v>358</v>
      </c>
      <c r="D506" t="s">
        <v>48</v>
      </c>
      <c r="E506" t="s">
        <v>84</v>
      </c>
      <c r="F506" t="s">
        <v>67</v>
      </c>
      <c r="G506" t="s">
        <v>115</v>
      </c>
      <c r="H506" t="s">
        <v>116</v>
      </c>
      <c r="I506" s="4">
        <v>80.19</v>
      </c>
      <c r="J506">
        <v>1</v>
      </c>
      <c r="K506" s="2">
        <v>0.3</v>
      </c>
      <c r="L506" s="4">
        <v>-4.24</v>
      </c>
      <c r="M506" t="s">
        <v>87</v>
      </c>
      <c r="N506" t="s">
        <v>76</v>
      </c>
      <c r="O506">
        <f>YEAR(Table1[[#This Row],[Order Date]])</f>
        <v>2025</v>
      </c>
      <c r="P506" t="str">
        <f>TEXT(Table1[[#This Row],[Order Date]],"mmmm")</f>
        <v>February</v>
      </c>
      <c r="Q506" t="str">
        <f>TEXT(Table1[[#This Row],[Order Date]],"mm")</f>
        <v>02</v>
      </c>
      <c r="R506" s="2">
        <f>Table1[[#This Row],[Profit]]/Table1[[#This Row],[Sales]]</f>
        <v>-5.287442324479362E-2</v>
      </c>
      <c r="S506" t="str">
        <f t="shared" si="7"/>
        <v>High (21-30%)</v>
      </c>
    </row>
    <row r="507" spans="1:19" x14ac:dyDescent="0.2">
      <c r="A507" t="s">
        <v>1148</v>
      </c>
      <c r="B507" s="3" t="s">
        <v>1149</v>
      </c>
      <c r="C507" t="s">
        <v>519</v>
      </c>
      <c r="D507" t="s">
        <v>137</v>
      </c>
      <c r="E507" t="s">
        <v>160</v>
      </c>
      <c r="F507" t="s">
        <v>19</v>
      </c>
      <c r="G507" t="s">
        <v>36</v>
      </c>
      <c r="H507" t="s">
        <v>111</v>
      </c>
      <c r="I507" s="4">
        <v>823.72</v>
      </c>
      <c r="J507">
        <v>1</v>
      </c>
      <c r="K507" s="2">
        <v>0.1</v>
      </c>
      <c r="L507" s="4">
        <v>133.78</v>
      </c>
      <c r="M507" t="s">
        <v>44</v>
      </c>
      <c r="N507" t="s">
        <v>23</v>
      </c>
      <c r="O507">
        <f>YEAR(Table1[[#This Row],[Order Date]])</f>
        <v>2024</v>
      </c>
      <c r="P507" t="str">
        <f>TEXT(Table1[[#This Row],[Order Date]],"mmmm")</f>
        <v>September</v>
      </c>
      <c r="Q507" t="str">
        <f>TEXT(Table1[[#This Row],[Order Date]],"mm")</f>
        <v>09</v>
      </c>
      <c r="R507" s="2">
        <f>Table1[[#This Row],[Profit]]/Table1[[#This Row],[Sales]]</f>
        <v>0.16240955664546206</v>
      </c>
      <c r="S507" t="str">
        <f t="shared" si="7"/>
        <v>Low (1-10%)</v>
      </c>
    </row>
    <row r="508" spans="1:19" x14ac:dyDescent="0.2">
      <c r="A508" t="s">
        <v>1150</v>
      </c>
      <c r="B508" s="3" t="s">
        <v>624</v>
      </c>
      <c r="C508" t="s">
        <v>1056</v>
      </c>
      <c r="D508" t="s">
        <v>137</v>
      </c>
      <c r="E508" t="s">
        <v>160</v>
      </c>
      <c r="F508" t="s">
        <v>55</v>
      </c>
      <c r="G508" t="s">
        <v>98</v>
      </c>
      <c r="H508" t="s">
        <v>154</v>
      </c>
      <c r="I508" s="4">
        <v>3125.1</v>
      </c>
      <c r="J508">
        <v>5</v>
      </c>
      <c r="K508" s="2">
        <v>0.2</v>
      </c>
      <c r="L508" s="4">
        <v>361.14</v>
      </c>
      <c r="M508" t="s">
        <v>107</v>
      </c>
      <c r="N508" t="s">
        <v>23</v>
      </c>
      <c r="O508">
        <f>YEAR(Table1[[#This Row],[Order Date]])</f>
        <v>2024</v>
      </c>
      <c r="P508" t="str">
        <f>TEXT(Table1[[#This Row],[Order Date]],"mmmm")</f>
        <v>August</v>
      </c>
      <c r="Q508" t="str">
        <f>TEXT(Table1[[#This Row],[Order Date]],"mm")</f>
        <v>08</v>
      </c>
      <c r="R508" s="2">
        <f>Table1[[#This Row],[Profit]]/Table1[[#This Row],[Sales]]</f>
        <v>0.11556110204473456</v>
      </c>
      <c r="S508" t="str">
        <f t="shared" si="7"/>
        <v>Medium (11-20%)</v>
      </c>
    </row>
    <row r="509" spans="1:19" x14ac:dyDescent="0.2">
      <c r="A509" t="s">
        <v>1151</v>
      </c>
      <c r="B509" s="3" t="s">
        <v>698</v>
      </c>
      <c r="C509" t="s">
        <v>123</v>
      </c>
      <c r="D509" t="s">
        <v>137</v>
      </c>
      <c r="E509" t="s">
        <v>242</v>
      </c>
      <c r="F509" t="s">
        <v>67</v>
      </c>
      <c r="G509" t="s">
        <v>115</v>
      </c>
      <c r="H509" t="s">
        <v>116</v>
      </c>
      <c r="I509" s="4">
        <v>6036.31</v>
      </c>
      <c r="J509">
        <v>7</v>
      </c>
      <c r="K509" s="2">
        <v>0.05</v>
      </c>
      <c r="L509" s="4">
        <v>1409.16</v>
      </c>
      <c r="M509" t="s">
        <v>44</v>
      </c>
      <c r="N509" t="s">
        <v>32</v>
      </c>
      <c r="O509">
        <f>YEAR(Table1[[#This Row],[Order Date]])</f>
        <v>2024</v>
      </c>
      <c r="P509" t="str">
        <f>TEXT(Table1[[#This Row],[Order Date]],"mmmm")</f>
        <v>March</v>
      </c>
      <c r="Q509" t="str">
        <f>TEXT(Table1[[#This Row],[Order Date]],"mm")</f>
        <v>03</v>
      </c>
      <c r="R509" s="2">
        <f>Table1[[#This Row],[Profit]]/Table1[[#This Row],[Sales]]</f>
        <v>0.23344725502832028</v>
      </c>
      <c r="S509" t="str">
        <f t="shared" si="7"/>
        <v>Low (1-10%)</v>
      </c>
    </row>
    <row r="510" spans="1:19" x14ac:dyDescent="0.2">
      <c r="A510" t="s">
        <v>1152</v>
      </c>
      <c r="B510" s="3" t="s">
        <v>1153</v>
      </c>
      <c r="C510" t="s">
        <v>994</v>
      </c>
      <c r="D510" t="s">
        <v>137</v>
      </c>
      <c r="E510" t="s">
        <v>160</v>
      </c>
      <c r="F510" t="s">
        <v>19</v>
      </c>
      <c r="G510" t="s">
        <v>20</v>
      </c>
      <c r="H510" t="s">
        <v>347</v>
      </c>
      <c r="I510" s="4">
        <v>310.16000000000003</v>
      </c>
      <c r="J510">
        <v>1</v>
      </c>
      <c r="K510" s="2">
        <v>0.3</v>
      </c>
      <c r="L510" s="4">
        <v>-11.54</v>
      </c>
      <c r="M510" t="s">
        <v>22</v>
      </c>
      <c r="N510" t="s">
        <v>32</v>
      </c>
      <c r="O510">
        <f>YEAR(Table1[[#This Row],[Order Date]])</f>
        <v>2024</v>
      </c>
      <c r="P510" t="str">
        <f>TEXT(Table1[[#This Row],[Order Date]],"mmmm")</f>
        <v>June</v>
      </c>
      <c r="Q510" t="str">
        <f>TEXT(Table1[[#This Row],[Order Date]],"mm")</f>
        <v>06</v>
      </c>
      <c r="R510" s="2">
        <f>Table1[[#This Row],[Profit]]/Table1[[#This Row],[Sales]]</f>
        <v>-3.72066030435904E-2</v>
      </c>
      <c r="S510" t="str">
        <f t="shared" si="7"/>
        <v>High (21-30%)</v>
      </c>
    </row>
    <row r="511" spans="1:19" x14ac:dyDescent="0.2">
      <c r="A511" t="s">
        <v>1154</v>
      </c>
      <c r="B511" s="3" t="s">
        <v>1155</v>
      </c>
      <c r="C511" t="s">
        <v>268</v>
      </c>
      <c r="D511" t="s">
        <v>27</v>
      </c>
      <c r="E511" t="s">
        <v>61</v>
      </c>
      <c r="F511" t="s">
        <v>67</v>
      </c>
      <c r="G511" t="s">
        <v>115</v>
      </c>
      <c r="H511" t="s">
        <v>178</v>
      </c>
      <c r="I511" s="4">
        <v>1033.27</v>
      </c>
      <c r="J511">
        <v>1</v>
      </c>
      <c r="K511" s="2">
        <v>0.2</v>
      </c>
      <c r="L511" s="4">
        <v>-20.239999999999998</v>
      </c>
      <c r="M511" t="s">
        <v>143</v>
      </c>
      <c r="N511" t="s">
        <v>32</v>
      </c>
      <c r="O511">
        <f>YEAR(Table1[[#This Row],[Order Date]])</f>
        <v>2025</v>
      </c>
      <c r="P511" t="str">
        <f>TEXT(Table1[[#This Row],[Order Date]],"mmmm")</f>
        <v>November</v>
      </c>
      <c r="Q511" t="str">
        <f>TEXT(Table1[[#This Row],[Order Date]],"mm")</f>
        <v>11</v>
      </c>
      <c r="R511" s="2">
        <f>Table1[[#This Row],[Profit]]/Table1[[#This Row],[Sales]]</f>
        <v>-1.9588297347256766E-2</v>
      </c>
      <c r="S511" t="str">
        <f t="shared" si="7"/>
        <v>Medium (11-20%)</v>
      </c>
    </row>
    <row r="512" spans="1:19" x14ac:dyDescent="0.2">
      <c r="A512" t="s">
        <v>1156</v>
      </c>
      <c r="B512" s="3" t="s">
        <v>1129</v>
      </c>
      <c r="C512" t="s">
        <v>640</v>
      </c>
      <c r="D512" t="s">
        <v>48</v>
      </c>
      <c r="E512" t="s">
        <v>110</v>
      </c>
      <c r="F512" t="s">
        <v>55</v>
      </c>
      <c r="G512" t="s">
        <v>98</v>
      </c>
      <c r="H512" t="s">
        <v>154</v>
      </c>
      <c r="I512" s="4">
        <v>11825.9</v>
      </c>
      <c r="J512">
        <v>10</v>
      </c>
      <c r="K512" s="2">
        <v>0.25</v>
      </c>
      <c r="L512" s="4">
        <v>1707.36</v>
      </c>
      <c r="M512" t="s">
        <v>44</v>
      </c>
      <c r="N512" t="s">
        <v>32</v>
      </c>
      <c r="O512">
        <f>YEAR(Table1[[#This Row],[Order Date]])</f>
        <v>2024</v>
      </c>
      <c r="P512" t="str">
        <f>TEXT(Table1[[#This Row],[Order Date]],"mmmm")</f>
        <v>March</v>
      </c>
      <c r="Q512" t="str">
        <f>TEXT(Table1[[#This Row],[Order Date]],"mm")</f>
        <v>03</v>
      </c>
      <c r="R512" s="2">
        <f>Table1[[#This Row],[Profit]]/Table1[[#This Row],[Sales]]</f>
        <v>0.14437463533430858</v>
      </c>
      <c r="S512" t="str">
        <f t="shared" si="7"/>
        <v>High (21-30%)</v>
      </c>
    </row>
    <row r="513" spans="1:19" x14ac:dyDescent="0.2">
      <c r="A513" t="s">
        <v>1157</v>
      </c>
      <c r="B513" s="3" t="s">
        <v>388</v>
      </c>
      <c r="C513" t="s">
        <v>625</v>
      </c>
      <c r="D513" t="s">
        <v>48</v>
      </c>
      <c r="E513" t="s">
        <v>73</v>
      </c>
      <c r="F513" t="s">
        <v>67</v>
      </c>
      <c r="G513" t="s">
        <v>115</v>
      </c>
      <c r="H513" t="s">
        <v>116</v>
      </c>
      <c r="I513" s="4">
        <v>2221.71</v>
      </c>
      <c r="J513">
        <v>3</v>
      </c>
      <c r="K513" s="2">
        <v>0.25</v>
      </c>
      <c r="L513" s="4">
        <v>-363.35</v>
      </c>
      <c r="M513" t="s">
        <v>107</v>
      </c>
      <c r="N513" t="s">
        <v>32</v>
      </c>
      <c r="O513">
        <f>YEAR(Table1[[#This Row],[Order Date]])</f>
        <v>2025</v>
      </c>
      <c r="P513" t="str">
        <f>TEXT(Table1[[#This Row],[Order Date]],"mmmm")</f>
        <v>January</v>
      </c>
      <c r="Q513" t="str">
        <f>TEXT(Table1[[#This Row],[Order Date]],"mm")</f>
        <v>01</v>
      </c>
      <c r="R513" s="2">
        <f>Table1[[#This Row],[Profit]]/Table1[[#This Row],[Sales]]</f>
        <v>-0.16354519716794721</v>
      </c>
      <c r="S513" t="str">
        <f t="shared" si="7"/>
        <v>High (21-30%)</v>
      </c>
    </row>
    <row r="514" spans="1:19" x14ac:dyDescent="0.2">
      <c r="A514" t="s">
        <v>1158</v>
      </c>
      <c r="B514" s="3" t="s">
        <v>388</v>
      </c>
      <c r="C514" t="s">
        <v>26</v>
      </c>
      <c r="D514" t="s">
        <v>48</v>
      </c>
      <c r="E514" t="s">
        <v>110</v>
      </c>
      <c r="F514" t="s">
        <v>19</v>
      </c>
      <c r="G514" t="s">
        <v>29</v>
      </c>
      <c r="H514" t="s">
        <v>50</v>
      </c>
      <c r="I514" s="4">
        <v>7722.89</v>
      </c>
      <c r="J514">
        <v>7</v>
      </c>
      <c r="K514" s="2">
        <v>0.2</v>
      </c>
      <c r="L514" s="4">
        <v>-20.260000000000002</v>
      </c>
      <c r="M514" t="s">
        <v>195</v>
      </c>
      <c r="N514" t="s">
        <v>32</v>
      </c>
      <c r="O514">
        <f>YEAR(Table1[[#This Row],[Order Date]])</f>
        <v>2025</v>
      </c>
      <c r="P514" t="str">
        <f>TEXT(Table1[[#This Row],[Order Date]],"mmmm")</f>
        <v>January</v>
      </c>
      <c r="Q514" t="str">
        <f>TEXT(Table1[[#This Row],[Order Date]],"mm")</f>
        <v>01</v>
      </c>
      <c r="R514" s="2">
        <f>Table1[[#This Row],[Profit]]/Table1[[#This Row],[Sales]]</f>
        <v>-2.6233702668301633E-3</v>
      </c>
      <c r="S514" t="str">
        <f t="shared" ref="S514:S577" si="8">IF(K514=0,"No Discount",
IF(K514&lt;=0.1,"Low (1-10%)",
IF(K514&lt;=0.2,"Medium (11-20%)",
IF(K514&lt;=0.3,"High (21-30%)","Very High (&gt;30%)"))))</f>
        <v>Medium (11-20%)</v>
      </c>
    </row>
    <row r="515" spans="1:19" x14ac:dyDescent="0.2">
      <c r="A515" t="s">
        <v>1159</v>
      </c>
      <c r="B515" s="3" t="s">
        <v>1160</v>
      </c>
      <c r="C515" t="s">
        <v>917</v>
      </c>
      <c r="D515" t="s">
        <v>48</v>
      </c>
      <c r="E515" t="s">
        <v>84</v>
      </c>
      <c r="F515" t="s">
        <v>55</v>
      </c>
      <c r="G515" t="s">
        <v>74</v>
      </c>
      <c r="H515" t="s">
        <v>133</v>
      </c>
      <c r="I515" s="4">
        <v>8494.7999999999993</v>
      </c>
      <c r="J515">
        <v>10</v>
      </c>
      <c r="K515" s="2">
        <v>0.1</v>
      </c>
      <c r="L515" s="4">
        <v>2876.41</v>
      </c>
      <c r="M515" t="s">
        <v>87</v>
      </c>
      <c r="N515" t="s">
        <v>32</v>
      </c>
      <c r="O515">
        <f>YEAR(Table1[[#This Row],[Order Date]])</f>
        <v>2024</v>
      </c>
      <c r="P515" t="str">
        <f>TEXT(Table1[[#This Row],[Order Date]],"mmmm")</f>
        <v>December</v>
      </c>
      <c r="Q515" t="str">
        <f>TEXT(Table1[[#This Row],[Order Date]],"mm")</f>
        <v>12</v>
      </c>
      <c r="R515" s="2">
        <f>Table1[[#This Row],[Profit]]/Table1[[#This Row],[Sales]]</f>
        <v>0.3386083250929981</v>
      </c>
      <c r="S515" t="str">
        <f t="shared" si="8"/>
        <v>Low (1-10%)</v>
      </c>
    </row>
    <row r="516" spans="1:19" x14ac:dyDescent="0.2">
      <c r="A516" t="s">
        <v>1161</v>
      </c>
      <c r="B516" s="3" t="s">
        <v>444</v>
      </c>
      <c r="C516" t="s">
        <v>275</v>
      </c>
      <c r="D516" t="s">
        <v>27</v>
      </c>
      <c r="E516" t="s">
        <v>124</v>
      </c>
      <c r="F516" t="s">
        <v>19</v>
      </c>
      <c r="G516" t="s">
        <v>20</v>
      </c>
      <c r="H516" t="s">
        <v>239</v>
      </c>
      <c r="I516" s="4">
        <v>1761.54</v>
      </c>
      <c r="J516">
        <v>2</v>
      </c>
      <c r="K516" s="2">
        <v>0.1</v>
      </c>
      <c r="L516" s="4">
        <v>81.790000000000006</v>
      </c>
      <c r="M516" t="s">
        <v>195</v>
      </c>
      <c r="N516" t="s">
        <v>39</v>
      </c>
      <c r="O516">
        <f>YEAR(Table1[[#This Row],[Order Date]])</f>
        <v>2025</v>
      </c>
      <c r="P516" t="str">
        <f>TEXT(Table1[[#This Row],[Order Date]],"mmmm")</f>
        <v>December</v>
      </c>
      <c r="Q516" t="str">
        <f>TEXT(Table1[[#This Row],[Order Date]],"mm")</f>
        <v>12</v>
      </c>
      <c r="R516" s="2">
        <f>Table1[[#This Row],[Profit]]/Table1[[#This Row],[Sales]]</f>
        <v>4.6430963815752131E-2</v>
      </c>
      <c r="S516" t="str">
        <f t="shared" si="8"/>
        <v>Low (1-10%)</v>
      </c>
    </row>
    <row r="517" spans="1:19" x14ac:dyDescent="0.2">
      <c r="A517" t="s">
        <v>1162</v>
      </c>
      <c r="B517" s="3" t="s">
        <v>493</v>
      </c>
      <c r="C517" t="s">
        <v>271</v>
      </c>
      <c r="D517" t="s">
        <v>137</v>
      </c>
      <c r="E517" t="s">
        <v>242</v>
      </c>
      <c r="F517" t="s">
        <v>19</v>
      </c>
      <c r="G517" t="s">
        <v>20</v>
      </c>
      <c r="H517" t="s">
        <v>347</v>
      </c>
      <c r="I517" s="4">
        <v>6688.4</v>
      </c>
      <c r="J517">
        <v>10</v>
      </c>
      <c r="K517" s="2">
        <v>0.25</v>
      </c>
      <c r="L517" s="4">
        <v>-1000.38</v>
      </c>
      <c r="M517" t="s">
        <v>22</v>
      </c>
      <c r="N517" t="s">
        <v>23</v>
      </c>
      <c r="O517">
        <f>YEAR(Table1[[#This Row],[Order Date]])</f>
        <v>2025</v>
      </c>
      <c r="P517" t="str">
        <f>TEXT(Table1[[#This Row],[Order Date]],"mmmm")</f>
        <v>May</v>
      </c>
      <c r="Q517" t="str">
        <f>TEXT(Table1[[#This Row],[Order Date]],"mm")</f>
        <v>05</v>
      </c>
      <c r="R517" s="2">
        <f>Table1[[#This Row],[Profit]]/Table1[[#This Row],[Sales]]</f>
        <v>-0.14956940374379524</v>
      </c>
      <c r="S517" t="str">
        <f t="shared" si="8"/>
        <v>High (21-30%)</v>
      </c>
    </row>
    <row r="518" spans="1:19" x14ac:dyDescent="0.2">
      <c r="A518" t="s">
        <v>1163</v>
      </c>
      <c r="B518" s="3" t="s">
        <v>482</v>
      </c>
      <c r="C518" t="s">
        <v>640</v>
      </c>
      <c r="D518" t="s">
        <v>27</v>
      </c>
      <c r="E518" t="s">
        <v>43</v>
      </c>
      <c r="F518" t="s">
        <v>19</v>
      </c>
      <c r="G518" t="s">
        <v>29</v>
      </c>
      <c r="H518" t="s">
        <v>30</v>
      </c>
      <c r="I518" s="4">
        <v>10965.9</v>
      </c>
      <c r="J518">
        <v>10</v>
      </c>
      <c r="K518" s="2">
        <v>0</v>
      </c>
      <c r="L518" s="4">
        <v>1138.44</v>
      </c>
      <c r="M518" t="s">
        <v>195</v>
      </c>
      <c r="N518" t="s">
        <v>23</v>
      </c>
      <c r="O518">
        <f>YEAR(Table1[[#This Row],[Order Date]])</f>
        <v>2024</v>
      </c>
      <c r="P518" t="str">
        <f>TEXT(Table1[[#This Row],[Order Date]],"mmmm")</f>
        <v>August</v>
      </c>
      <c r="Q518" t="str">
        <f>TEXT(Table1[[#This Row],[Order Date]],"mm")</f>
        <v>08</v>
      </c>
      <c r="R518" s="2">
        <f>Table1[[#This Row],[Profit]]/Table1[[#This Row],[Sales]]</f>
        <v>0.10381637622083004</v>
      </c>
      <c r="S518" t="str">
        <f t="shared" si="8"/>
        <v>No Discount</v>
      </c>
    </row>
    <row r="519" spans="1:19" x14ac:dyDescent="0.2">
      <c r="A519" t="s">
        <v>1164</v>
      </c>
      <c r="B519" s="3" t="s">
        <v>1165</v>
      </c>
      <c r="C519" t="s">
        <v>501</v>
      </c>
      <c r="D519" t="s">
        <v>48</v>
      </c>
      <c r="E519" t="s">
        <v>73</v>
      </c>
      <c r="F519" t="s">
        <v>67</v>
      </c>
      <c r="G519" t="s">
        <v>68</v>
      </c>
      <c r="H519" t="s">
        <v>382</v>
      </c>
      <c r="I519" s="4">
        <v>800.77</v>
      </c>
      <c r="J519">
        <v>1</v>
      </c>
      <c r="K519" s="2">
        <v>0.3</v>
      </c>
      <c r="L519" s="4">
        <v>-76.14</v>
      </c>
      <c r="M519" t="s">
        <v>195</v>
      </c>
      <c r="N519" t="s">
        <v>23</v>
      </c>
      <c r="O519">
        <f>YEAR(Table1[[#This Row],[Order Date]])</f>
        <v>2025</v>
      </c>
      <c r="P519" t="str">
        <f>TEXT(Table1[[#This Row],[Order Date]],"mmmm")</f>
        <v>October</v>
      </c>
      <c r="Q519" t="str">
        <f>TEXT(Table1[[#This Row],[Order Date]],"mm")</f>
        <v>10</v>
      </c>
      <c r="R519" s="2">
        <f>Table1[[#This Row],[Profit]]/Table1[[#This Row],[Sales]]</f>
        <v>-9.5083482148432139E-2</v>
      </c>
      <c r="S519" t="str">
        <f t="shared" si="8"/>
        <v>High (21-30%)</v>
      </c>
    </row>
    <row r="520" spans="1:19" x14ac:dyDescent="0.2">
      <c r="A520" t="s">
        <v>1166</v>
      </c>
      <c r="B520" s="3" t="s">
        <v>782</v>
      </c>
      <c r="C520" t="s">
        <v>35</v>
      </c>
      <c r="D520" t="s">
        <v>137</v>
      </c>
      <c r="E520" t="s">
        <v>138</v>
      </c>
      <c r="F520" t="s">
        <v>67</v>
      </c>
      <c r="G520" t="s">
        <v>68</v>
      </c>
      <c r="H520" t="s">
        <v>382</v>
      </c>
      <c r="I520" s="4">
        <v>2831.04</v>
      </c>
      <c r="J520">
        <v>3</v>
      </c>
      <c r="K520" s="2">
        <v>0.05</v>
      </c>
      <c r="L520" s="4">
        <v>669.24</v>
      </c>
      <c r="M520" t="s">
        <v>31</v>
      </c>
      <c r="N520" t="s">
        <v>23</v>
      </c>
      <c r="O520">
        <f>YEAR(Table1[[#This Row],[Order Date]])</f>
        <v>2024</v>
      </c>
      <c r="P520" t="str">
        <f>TEXT(Table1[[#This Row],[Order Date]],"mmmm")</f>
        <v>April</v>
      </c>
      <c r="Q520" t="str">
        <f>TEXT(Table1[[#This Row],[Order Date]],"mm")</f>
        <v>04</v>
      </c>
      <c r="R520" s="2">
        <f>Table1[[#This Row],[Profit]]/Table1[[#This Row],[Sales]]</f>
        <v>0.23639369277721262</v>
      </c>
      <c r="S520" t="str">
        <f t="shared" si="8"/>
        <v>Low (1-10%)</v>
      </c>
    </row>
    <row r="521" spans="1:19" x14ac:dyDescent="0.2">
      <c r="A521" t="s">
        <v>1167</v>
      </c>
      <c r="B521" s="3" t="s">
        <v>1168</v>
      </c>
      <c r="C521" t="s">
        <v>504</v>
      </c>
      <c r="D521" t="s">
        <v>48</v>
      </c>
      <c r="E521" t="s">
        <v>84</v>
      </c>
      <c r="F521" t="s">
        <v>67</v>
      </c>
      <c r="G521" t="s">
        <v>115</v>
      </c>
      <c r="H521" t="s">
        <v>178</v>
      </c>
      <c r="I521" s="4">
        <v>4318.88</v>
      </c>
      <c r="J521">
        <v>8</v>
      </c>
      <c r="K521" s="2">
        <v>0.25</v>
      </c>
      <c r="L521" s="4">
        <v>-236.15</v>
      </c>
      <c r="M521" t="s">
        <v>63</v>
      </c>
      <c r="N521" t="s">
        <v>39</v>
      </c>
      <c r="O521">
        <f>YEAR(Table1[[#This Row],[Order Date]])</f>
        <v>2025</v>
      </c>
      <c r="P521" t="str">
        <f>TEXT(Table1[[#This Row],[Order Date]],"mmmm")</f>
        <v>March</v>
      </c>
      <c r="Q521" t="str">
        <f>TEXT(Table1[[#This Row],[Order Date]],"mm")</f>
        <v>03</v>
      </c>
      <c r="R521" s="2">
        <f>Table1[[#This Row],[Profit]]/Table1[[#This Row],[Sales]]</f>
        <v>-5.4678527766457971E-2</v>
      </c>
      <c r="S521" t="str">
        <f t="shared" si="8"/>
        <v>High (21-30%)</v>
      </c>
    </row>
    <row r="522" spans="1:19" x14ac:dyDescent="0.2">
      <c r="A522" t="s">
        <v>1169</v>
      </c>
      <c r="B522" s="3" t="s">
        <v>185</v>
      </c>
      <c r="C522" t="s">
        <v>468</v>
      </c>
      <c r="D522" t="s">
        <v>137</v>
      </c>
      <c r="E522" t="s">
        <v>138</v>
      </c>
      <c r="F522" t="s">
        <v>19</v>
      </c>
      <c r="G522" t="s">
        <v>20</v>
      </c>
      <c r="H522" t="s">
        <v>239</v>
      </c>
      <c r="I522" s="4">
        <v>3093.09</v>
      </c>
      <c r="J522">
        <v>7</v>
      </c>
      <c r="K522" s="2">
        <v>0.1</v>
      </c>
      <c r="L522" s="4">
        <v>-150.43</v>
      </c>
      <c r="M522" t="s">
        <v>87</v>
      </c>
      <c r="N522" t="s">
        <v>32</v>
      </c>
      <c r="O522">
        <f>YEAR(Table1[[#This Row],[Order Date]])</f>
        <v>2025</v>
      </c>
      <c r="P522" t="str">
        <f>TEXT(Table1[[#This Row],[Order Date]],"mmmm")</f>
        <v>September</v>
      </c>
      <c r="Q522" t="str">
        <f>TEXT(Table1[[#This Row],[Order Date]],"mm")</f>
        <v>09</v>
      </c>
      <c r="R522" s="2">
        <f>Table1[[#This Row],[Profit]]/Table1[[#This Row],[Sales]]</f>
        <v>-4.8634213682757374E-2</v>
      </c>
      <c r="S522" t="str">
        <f t="shared" si="8"/>
        <v>Low (1-10%)</v>
      </c>
    </row>
    <row r="523" spans="1:19" x14ac:dyDescent="0.2">
      <c r="A523" t="s">
        <v>1170</v>
      </c>
      <c r="B523" s="3" t="s">
        <v>1171</v>
      </c>
      <c r="C523" t="s">
        <v>588</v>
      </c>
      <c r="D523" t="s">
        <v>137</v>
      </c>
      <c r="E523" t="s">
        <v>138</v>
      </c>
      <c r="F523" t="s">
        <v>67</v>
      </c>
      <c r="G523" t="s">
        <v>115</v>
      </c>
      <c r="H523" t="s">
        <v>178</v>
      </c>
      <c r="I523" s="4">
        <v>4013.76</v>
      </c>
      <c r="J523">
        <v>6</v>
      </c>
      <c r="K523" s="2">
        <v>0.15</v>
      </c>
      <c r="L523" s="4">
        <v>150.80000000000001</v>
      </c>
      <c r="M523" t="s">
        <v>117</v>
      </c>
      <c r="N523" t="s">
        <v>23</v>
      </c>
      <c r="O523">
        <f>YEAR(Table1[[#This Row],[Order Date]])</f>
        <v>2024</v>
      </c>
      <c r="P523" t="str">
        <f>TEXT(Table1[[#This Row],[Order Date]],"mmmm")</f>
        <v>September</v>
      </c>
      <c r="Q523" t="str">
        <f>TEXT(Table1[[#This Row],[Order Date]],"mm")</f>
        <v>09</v>
      </c>
      <c r="R523" s="2">
        <f>Table1[[#This Row],[Profit]]/Table1[[#This Row],[Sales]]</f>
        <v>3.7570756597305272E-2</v>
      </c>
      <c r="S523" t="str">
        <f t="shared" si="8"/>
        <v>Medium (11-20%)</v>
      </c>
    </row>
    <row r="524" spans="1:19" x14ac:dyDescent="0.2">
      <c r="A524" t="s">
        <v>1172</v>
      </c>
      <c r="B524" s="3" t="s">
        <v>940</v>
      </c>
      <c r="C524" t="s">
        <v>818</v>
      </c>
      <c r="D524" t="s">
        <v>48</v>
      </c>
      <c r="E524" t="s">
        <v>73</v>
      </c>
      <c r="F524" t="s">
        <v>19</v>
      </c>
      <c r="G524" t="s">
        <v>29</v>
      </c>
      <c r="H524" t="s">
        <v>30</v>
      </c>
      <c r="I524" s="4">
        <v>3529.1</v>
      </c>
      <c r="J524">
        <v>5</v>
      </c>
      <c r="K524" s="2">
        <v>0.05</v>
      </c>
      <c r="L524" s="4">
        <v>1135.56</v>
      </c>
      <c r="M524" t="s">
        <v>38</v>
      </c>
      <c r="N524" t="s">
        <v>39</v>
      </c>
      <c r="O524">
        <f>YEAR(Table1[[#This Row],[Order Date]])</f>
        <v>2024</v>
      </c>
      <c r="P524" t="str">
        <f>TEXT(Table1[[#This Row],[Order Date]],"mmmm")</f>
        <v>October</v>
      </c>
      <c r="Q524" t="str">
        <f>TEXT(Table1[[#This Row],[Order Date]],"mm")</f>
        <v>10</v>
      </c>
      <c r="R524" s="2">
        <f>Table1[[#This Row],[Profit]]/Table1[[#This Row],[Sales]]</f>
        <v>0.32177042305403641</v>
      </c>
      <c r="S524" t="str">
        <f t="shared" si="8"/>
        <v>Low (1-10%)</v>
      </c>
    </row>
    <row r="525" spans="1:19" x14ac:dyDescent="0.2">
      <c r="A525" t="s">
        <v>1173</v>
      </c>
      <c r="B525" s="3" t="s">
        <v>1174</v>
      </c>
      <c r="C525" t="s">
        <v>501</v>
      </c>
      <c r="D525" t="s">
        <v>27</v>
      </c>
      <c r="E525" t="s">
        <v>43</v>
      </c>
      <c r="F525" t="s">
        <v>19</v>
      </c>
      <c r="G525" t="s">
        <v>20</v>
      </c>
      <c r="H525" t="s">
        <v>239</v>
      </c>
      <c r="I525" s="4">
        <v>2052.7199999999998</v>
      </c>
      <c r="J525">
        <v>9</v>
      </c>
      <c r="K525" s="2">
        <v>0.25</v>
      </c>
      <c r="L525" s="4">
        <v>330.96</v>
      </c>
      <c r="M525" t="s">
        <v>87</v>
      </c>
      <c r="N525" t="s">
        <v>39</v>
      </c>
      <c r="O525">
        <f>YEAR(Table1[[#This Row],[Order Date]])</f>
        <v>2024</v>
      </c>
      <c r="P525" t="str">
        <f>TEXT(Table1[[#This Row],[Order Date]],"mmmm")</f>
        <v>January</v>
      </c>
      <c r="Q525" t="str">
        <f>TEXT(Table1[[#This Row],[Order Date]],"mm")</f>
        <v>01</v>
      </c>
      <c r="R525" s="2">
        <f>Table1[[#This Row],[Profit]]/Table1[[#This Row],[Sales]]</f>
        <v>0.16122997778557233</v>
      </c>
      <c r="S525" t="str">
        <f t="shared" si="8"/>
        <v>High (21-30%)</v>
      </c>
    </row>
    <row r="526" spans="1:19" x14ac:dyDescent="0.2">
      <c r="A526" t="s">
        <v>1175</v>
      </c>
      <c r="B526" s="3" t="s">
        <v>1176</v>
      </c>
      <c r="C526" t="s">
        <v>994</v>
      </c>
      <c r="D526" t="s">
        <v>137</v>
      </c>
      <c r="E526" t="s">
        <v>160</v>
      </c>
      <c r="F526" t="s">
        <v>55</v>
      </c>
      <c r="G526" t="s">
        <v>56</v>
      </c>
      <c r="H526" t="s">
        <v>62</v>
      </c>
      <c r="I526" s="4">
        <v>4233.0600000000004</v>
      </c>
      <c r="J526">
        <v>6</v>
      </c>
      <c r="K526" s="2">
        <v>0.25</v>
      </c>
      <c r="L526" s="4">
        <v>159.13999999999999</v>
      </c>
      <c r="M526" t="s">
        <v>31</v>
      </c>
      <c r="N526" t="s">
        <v>23</v>
      </c>
      <c r="O526">
        <f>YEAR(Table1[[#This Row],[Order Date]])</f>
        <v>2025</v>
      </c>
      <c r="P526" t="str">
        <f>TEXT(Table1[[#This Row],[Order Date]],"mmmm")</f>
        <v>October</v>
      </c>
      <c r="Q526" t="str">
        <f>TEXT(Table1[[#This Row],[Order Date]],"mm")</f>
        <v>10</v>
      </c>
      <c r="R526" s="2">
        <f>Table1[[#This Row],[Profit]]/Table1[[#This Row],[Sales]]</f>
        <v>3.7594553349113873E-2</v>
      </c>
      <c r="S526" t="str">
        <f t="shared" si="8"/>
        <v>High (21-30%)</v>
      </c>
    </row>
    <row r="527" spans="1:19" x14ac:dyDescent="0.2">
      <c r="A527" t="s">
        <v>1177</v>
      </c>
      <c r="B527" s="3" t="s">
        <v>227</v>
      </c>
      <c r="C527" t="s">
        <v>1056</v>
      </c>
      <c r="D527" t="s">
        <v>27</v>
      </c>
      <c r="E527" t="s">
        <v>61</v>
      </c>
      <c r="F527" t="s">
        <v>67</v>
      </c>
      <c r="G527" t="s">
        <v>68</v>
      </c>
      <c r="H527" t="s">
        <v>382</v>
      </c>
      <c r="I527" s="4">
        <v>8134.63</v>
      </c>
      <c r="J527">
        <v>7</v>
      </c>
      <c r="K527" s="2">
        <v>0.25</v>
      </c>
      <c r="L527" s="4">
        <v>478.37</v>
      </c>
      <c r="M527" t="s">
        <v>38</v>
      </c>
      <c r="N527" t="s">
        <v>23</v>
      </c>
      <c r="O527">
        <f>YEAR(Table1[[#This Row],[Order Date]])</f>
        <v>2025</v>
      </c>
      <c r="P527" t="str">
        <f>TEXT(Table1[[#This Row],[Order Date]],"mmmm")</f>
        <v>November</v>
      </c>
      <c r="Q527" t="str">
        <f>TEXT(Table1[[#This Row],[Order Date]],"mm")</f>
        <v>11</v>
      </c>
      <c r="R527" s="2">
        <f>Table1[[#This Row],[Profit]]/Table1[[#This Row],[Sales]]</f>
        <v>5.8806608290727418E-2</v>
      </c>
      <c r="S527" t="str">
        <f t="shared" si="8"/>
        <v>High (21-30%)</v>
      </c>
    </row>
    <row r="528" spans="1:19" x14ac:dyDescent="0.2">
      <c r="A528" t="s">
        <v>1178</v>
      </c>
      <c r="B528" s="3" t="s">
        <v>1179</v>
      </c>
      <c r="C528" t="s">
        <v>381</v>
      </c>
      <c r="D528" t="s">
        <v>17</v>
      </c>
      <c r="E528" t="s">
        <v>97</v>
      </c>
      <c r="F528" t="s">
        <v>55</v>
      </c>
      <c r="G528" t="s">
        <v>74</v>
      </c>
      <c r="H528" t="s">
        <v>75</v>
      </c>
      <c r="I528" s="4">
        <v>2526.3000000000002</v>
      </c>
      <c r="J528">
        <v>7</v>
      </c>
      <c r="K528" s="2">
        <v>0.15</v>
      </c>
      <c r="L528" s="4">
        <v>719.03</v>
      </c>
      <c r="M528" t="s">
        <v>22</v>
      </c>
      <c r="N528" t="s">
        <v>76</v>
      </c>
      <c r="O528">
        <f>YEAR(Table1[[#This Row],[Order Date]])</f>
        <v>2024</v>
      </c>
      <c r="P528" t="str">
        <f>TEXT(Table1[[#This Row],[Order Date]],"mmmm")</f>
        <v>September</v>
      </c>
      <c r="Q528" t="str">
        <f>TEXT(Table1[[#This Row],[Order Date]],"mm")</f>
        <v>09</v>
      </c>
      <c r="R528" s="2">
        <f>Table1[[#This Row],[Profit]]/Table1[[#This Row],[Sales]]</f>
        <v>0.28461782052804496</v>
      </c>
      <c r="S528" t="str">
        <f t="shared" si="8"/>
        <v>Medium (11-20%)</v>
      </c>
    </row>
    <row r="529" spans="1:19" x14ac:dyDescent="0.2">
      <c r="A529" t="s">
        <v>1180</v>
      </c>
      <c r="B529" s="3" t="s">
        <v>582</v>
      </c>
      <c r="C529" t="s">
        <v>186</v>
      </c>
      <c r="D529" t="s">
        <v>17</v>
      </c>
      <c r="E529" t="s">
        <v>80</v>
      </c>
      <c r="F529" t="s">
        <v>55</v>
      </c>
      <c r="G529" t="s">
        <v>74</v>
      </c>
      <c r="H529" t="s">
        <v>75</v>
      </c>
      <c r="I529" s="4">
        <v>2790.24</v>
      </c>
      <c r="J529">
        <v>8</v>
      </c>
      <c r="K529" s="2">
        <v>0.1</v>
      </c>
      <c r="L529" s="4">
        <v>-57.58</v>
      </c>
      <c r="M529" t="s">
        <v>143</v>
      </c>
      <c r="N529" t="s">
        <v>39</v>
      </c>
      <c r="O529">
        <f>YEAR(Table1[[#This Row],[Order Date]])</f>
        <v>2025</v>
      </c>
      <c r="P529" t="str">
        <f>TEXT(Table1[[#This Row],[Order Date]],"mmmm")</f>
        <v>September</v>
      </c>
      <c r="Q529" t="str">
        <f>TEXT(Table1[[#This Row],[Order Date]],"mm")</f>
        <v>09</v>
      </c>
      <c r="R529" s="2">
        <f>Table1[[#This Row],[Profit]]/Table1[[#This Row],[Sales]]</f>
        <v>-2.0636217673031712E-2</v>
      </c>
      <c r="S529" t="str">
        <f t="shared" si="8"/>
        <v>Low (1-10%)</v>
      </c>
    </row>
    <row r="530" spans="1:19" x14ac:dyDescent="0.2">
      <c r="A530" t="s">
        <v>1181</v>
      </c>
      <c r="B530" s="3" t="s">
        <v>1182</v>
      </c>
      <c r="C530" t="s">
        <v>120</v>
      </c>
      <c r="D530" t="s">
        <v>27</v>
      </c>
      <c r="E530" t="s">
        <v>43</v>
      </c>
      <c r="F530" t="s">
        <v>67</v>
      </c>
      <c r="G530" t="s">
        <v>85</v>
      </c>
      <c r="H530" t="s">
        <v>253</v>
      </c>
      <c r="I530" s="4">
        <v>3135.06</v>
      </c>
      <c r="J530">
        <v>9</v>
      </c>
      <c r="K530" s="2">
        <v>0.2</v>
      </c>
      <c r="L530" s="4">
        <v>-281.49</v>
      </c>
      <c r="M530" t="s">
        <v>107</v>
      </c>
      <c r="N530" t="s">
        <v>39</v>
      </c>
      <c r="O530">
        <f>YEAR(Table1[[#This Row],[Order Date]])</f>
        <v>2024</v>
      </c>
      <c r="P530" t="str">
        <f>TEXT(Table1[[#This Row],[Order Date]],"mmmm")</f>
        <v>October</v>
      </c>
      <c r="Q530" t="str">
        <f>TEXT(Table1[[#This Row],[Order Date]],"mm")</f>
        <v>10</v>
      </c>
      <c r="R530" s="2">
        <f>Table1[[#This Row],[Profit]]/Table1[[#This Row],[Sales]]</f>
        <v>-8.9787755258272567E-2</v>
      </c>
      <c r="S530" t="str">
        <f t="shared" si="8"/>
        <v>Medium (11-20%)</v>
      </c>
    </row>
    <row r="531" spans="1:19" x14ac:dyDescent="0.2">
      <c r="A531" t="s">
        <v>1183</v>
      </c>
      <c r="B531" s="3" t="s">
        <v>1184</v>
      </c>
      <c r="C531" t="s">
        <v>583</v>
      </c>
      <c r="D531" t="s">
        <v>48</v>
      </c>
      <c r="E531" t="s">
        <v>84</v>
      </c>
      <c r="F531" t="s">
        <v>19</v>
      </c>
      <c r="G531" t="s">
        <v>36</v>
      </c>
      <c r="H531" t="s">
        <v>222</v>
      </c>
      <c r="I531" s="4">
        <v>8340.85</v>
      </c>
      <c r="J531">
        <v>7</v>
      </c>
      <c r="K531" s="2">
        <v>0.2</v>
      </c>
      <c r="L531" s="4">
        <v>1818.2</v>
      </c>
      <c r="M531" t="s">
        <v>107</v>
      </c>
      <c r="N531" t="s">
        <v>76</v>
      </c>
      <c r="O531">
        <f>YEAR(Table1[[#This Row],[Order Date]])</f>
        <v>2025</v>
      </c>
      <c r="P531" t="str">
        <f>TEXT(Table1[[#This Row],[Order Date]],"mmmm")</f>
        <v>December</v>
      </c>
      <c r="Q531" t="str">
        <f>TEXT(Table1[[#This Row],[Order Date]],"mm")</f>
        <v>12</v>
      </c>
      <c r="R531" s="2">
        <f>Table1[[#This Row],[Profit]]/Table1[[#This Row],[Sales]]</f>
        <v>0.21798737538740057</v>
      </c>
      <c r="S531" t="str">
        <f t="shared" si="8"/>
        <v>Medium (11-20%)</v>
      </c>
    </row>
    <row r="532" spans="1:19" x14ac:dyDescent="0.2">
      <c r="A532" t="s">
        <v>1185</v>
      </c>
      <c r="B532" s="3" t="s">
        <v>1186</v>
      </c>
      <c r="C532" t="s">
        <v>701</v>
      </c>
      <c r="D532" t="s">
        <v>17</v>
      </c>
      <c r="E532" t="s">
        <v>18</v>
      </c>
      <c r="F532" t="s">
        <v>19</v>
      </c>
      <c r="G532" t="s">
        <v>29</v>
      </c>
      <c r="H532" t="s">
        <v>30</v>
      </c>
      <c r="I532" s="4">
        <v>217.53</v>
      </c>
      <c r="J532">
        <v>1</v>
      </c>
      <c r="K532" s="2">
        <v>0.05</v>
      </c>
      <c r="L532" s="4">
        <v>67.45</v>
      </c>
      <c r="M532" t="s">
        <v>44</v>
      </c>
      <c r="N532" t="s">
        <v>39</v>
      </c>
      <c r="O532">
        <f>YEAR(Table1[[#This Row],[Order Date]])</f>
        <v>2025</v>
      </c>
      <c r="P532" t="str">
        <f>TEXT(Table1[[#This Row],[Order Date]],"mmmm")</f>
        <v>June</v>
      </c>
      <c r="Q532" t="str">
        <f>TEXT(Table1[[#This Row],[Order Date]],"mm")</f>
        <v>06</v>
      </c>
      <c r="R532" s="2">
        <f>Table1[[#This Row],[Profit]]/Table1[[#This Row],[Sales]]</f>
        <v>0.310072173953018</v>
      </c>
      <c r="S532" t="str">
        <f t="shared" si="8"/>
        <v>Low (1-10%)</v>
      </c>
    </row>
    <row r="533" spans="1:19" x14ac:dyDescent="0.2">
      <c r="A533" t="s">
        <v>1187</v>
      </c>
      <c r="B533" s="3" t="s">
        <v>529</v>
      </c>
      <c r="C533" t="s">
        <v>666</v>
      </c>
      <c r="D533" t="s">
        <v>27</v>
      </c>
      <c r="E533" t="s">
        <v>61</v>
      </c>
      <c r="F533" t="s">
        <v>19</v>
      </c>
      <c r="G533" t="s">
        <v>29</v>
      </c>
      <c r="H533" t="s">
        <v>30</v>
      </c>
      <c r="I533" s="4">
        <v>2001.48</v>
      </c>
      <c r="J533">
        <v>3</v>
      </c>
      <c r="K533" s="2">
        <v>0</v>
      </c>
      <c r="L533" s="4">
        <v>729.08</v>
      </c>
      <c r="M533" t="s">
        <v>107</v>
      </c>
      <c r="N533" t="s">
        <v>76</v>
      </c>
      <c r="O533">
        <f>YEAR(Table1[[#This Row],[Order Date]])</f>
        <v>2024</v>
      </c>
      <c r="P533" t="str">
        <f>TEXT(Table1[[#This Row],[Order Date]],"mmmm")</f>
        <v>June</v>
      </c>
      <c r="Q533" t="str">
        <f>TEXT(Table1[[#This Row],[Order Date]],"mm")</f>
        <v>06</v>
      </c>
      <c r="R533" s="2">
        <f>Table1[[#This Row],[Profit]]/Table1[[#This Row],[Sales]]</f>
        <v>0.36427043987449287</v>
      </c>
      <c r="S533" t="str">
        <f t="shared" si="8"/>
        <v>No Discount</v>
      </c>
    </row>
    <row r="534" spans="1:19" x14ac:dyDescent="0.2">
      <c r="A534" t="s">
        <v>1188</v>
      </c>
      <c r="B534" s="3" t="s">
        <v>1189</v>
      </c>
      <c r="C534" t="s">
        <v>350</v>
      </c>
      <c r="D534" t="s">
        <v>48</v>
      </c>
      <c r="E534" t="s">
        <v>49</v>
      </c>
      <c r="F534" t="s">
        <v>55</v>
      </c>
      <c r="G534" t="s">
        <v>74</v>
      </c>
      <c r="H534" t="s">
        <v>75</v>
      </c>
      <c r="I534" s="4">
        <v>1284.8</v>
      </c>
      <c r="J534">
        <v>10</v>
      </c>
      <c r="K534" s="2">
        <v>0.2</v>
      </c>
      <c r="L534" s="4">
        <v>262.14</v>
      </c>
      <c r="M534" t="s">
        <v>117</v>
      </c>
      <c r="N534" t="s">
        <v>23</v>
      </c>
      <c r="O534">
        <f>YEAR(Table1[[#This Row],[Order Date]])</f>
        <v>2024</v>
      </c>
      <c r="P534" t="str">
        <f>TEXT(Table1[[#This Row],[Order Date]],"mmmm")</f>
        <v>June</v>
      </c>
      <c r="Q534" t="str">
        <f>TEXT(Table1[[#This Row],[Order Date]],"mm")</f>
        <v>06</v>
      </c>
      <c r="R534" s="2">
        <f>Table1[[#This Row],[Profit]]/Table1[[#This Row],[Sales]]</f>
        <v>0.20403175591531755</v>
      </c>
      <c r="S534" t="str">
        <f t="shared" si="8"/>
        <v>Medium (11-20%)</v>
      </c>
    </row>
    <row r="535" spans="1:19" x14ac:dyDescent="0.2">
      <c r="A535" t="s">
        <v>1190</v>
      </c>
      <c r="B535" s="3" t="s">
        <v>462</v>
      </c>
      <c r="C535" t="s">
        <v>745</v>
      </c>
      <c r="D535" t="s">
        <v>17</v>
      </c>
      <c r="E535" t="s">
        <v>54</v>
      </c>
      <c r="F535" t="s">
        <v>19</v>
      </c>
      <c r="G535" t="s">
        <v>29</v>
      </c>
      <c r="H535" t="s">
        <v>30</v>
      </c>
      <c r="I535" s="4">
        <v>1904.5</v>
      </c>
      <c r="J535">
        <v>5</v>
      </c>
      <c r="K535" s="2">
        <v>0.3</v>
      </c>
      <c r="L535" s="4">
        <v>-370.84</v>
      </c>
      <c r="M535" t="s">
        <v>117</v>
      </c>
      <c r="N535" t="s">
        <v>32</v>
      </c>
      <c r="O535">
        <f>YEAR(Table1[[#This Row],[Order Date]])</f>
        <v>2024</v>
      </c>
      <c r="P535" t="str">
        <f>TEXT(Table1[[#This Row],[Order Date]],"mmmm")</f>
        <v>December</v>
      </c>
      <c r="Q535" t="str">
        <f>TEXT(Table1[[#This Row],[Order Date]],"mm")</f>
        <v>12</v>
      </c>
      <c r="R535" s="2">
        <f>Table1[[#This Row],[Profit]]/Table1[[#This Row],[Sales]]</f>
        <v>-0.19471777369388291</v>
      </c>
      <c r="S535" t="str">
        <f t="shared" si="8"/>
        <v>High (21-30%)</v>
      </c>
    </row>
    <row r="536" spans="1:19" x14ac:dyDescent="0.2">
      <c r="A536" t="s">
        <v>1191</v>
      </c>
      <c r="B536" s="3" t="s">
        <v>52</v>
      </c>
      <c r="C536" t="s">
        <v>1072</v>
      </c>
      <c r="D536" t="s">
        <v>17</v>
      </c>
      <c r="E536" t="s">
        <v>18</v>
      </c>
      <c r="F536" t="s">
        <v>55</v>
      </c>
      <c r="G536" t="s">
        <v>56</v>
      </c>
      <c r="H536" t="s">
        <v>129</v>
      </c>
      <c r="I536" s="4">
        <v>3844.15</v>
      </c>
      <c r="J536">
        <v>5</v>
      </c>
      <c r="K536" s="2">
        <v>0.2</v>
      </c>
      <c r="L536" s="4">
        <v>285.85000000000002</v>
      </c>
      <c r="M536" t="s">
        <v>44</v>
      </c>
      <c r="N536" t="s">
        <v>32</v>
      </c>
      <c r="O536">
        <f>YEAR(Table1[[#This Row],[Order Date]])</f>
        <v>2024</v>
      </c>
      <c r="P536" t="str">
        <f>TEXT(Table1[[#This Row],[Order Date]],"mmmm")</f>
        <v>December</v>
      </c>
      <c r="Q536" t="str">
        <f>TEXT(Table1[[#This Row],[Order Date]],"mm")</f>
        <v>12</v>
      </c>
      <c r="R536" s="2">
        <f>Table1[[#This Row],[Profit]]/Table1[[#This Row],[Sales]]</f>
        <v>7.435974142528258E-2</v>
      </c>
      <c r="S536" t="str">
        <f t="shared" si="8"/>
        <v>Medium (11-20%)</v>
      </c>
    </row>
    <row r="537" spans="1:19" x14ac:dyDescent="0.2">
      <c r="A537" t="s">
        <v>1192</v>
      </c>
      <c r="B537" s="3" t="s">
        <v>433</v>
      </c>
      <c r="C537" t="s">
        <v>797</v>
      </c>
      <c r="D537" t="s">
        <v>27</v>
      </c>
      <c r="E537" t="s">
        <v>43</v>
      </c>
      <c r="F537" t="s">
        <v>67</v>
      </c>
      <c r="G537" t="s">
        <v>115</v>
      </c>
      <c r="H537" t="s">
        <v>116</v>
      </c>
      <c r="I537" s="4">
        <v>3909.96</v>
      </c>
      <c r="J537">
        <v>9</v>
      </c>
      <c r="K537" s="2">
        <v>0</v>
      </c>
      <c r="L537" s="4">
        <v>872.82</v>
      </c>
      <c r="M537" t="s">
        <v>38</v>
      </c>
      <c r="N537" t="s">
        <v>39</v>
      </c>
      <c r="O537">
        <f>YEAR(Table1[[#This Row],[Order Date]])</f>
        <v>2024</v>
      </c>
      <c r="P537" t="str">
        <f>TEXT(Table1[[#This Row],[Order Date]],"mmmm")</f>
        <v>June</v>
      </c>
      <c r="Q537" t="str">
        <f>TEXT(Table1[[#This Row],[Order Date]],"mm")</f>
        <v>06</v>
      </c>
      <c r="R537" s="2">
        <f>Table1[[#This Row],[Profit]]/Table1[[#This Row],[Sales]]</f>
        <v>0.22322990516527025</v>
      </c>
      <c r="S537" t="str">
        <f t="shared" si="8"/>
        <v>No Discount</v>
      </c>
    </row>
    <row r="538" spans="1:19" x14ac:dyDescent="0.2">
      <c r="A538" t="s">
        <v>1193</v>
      </c>
      <c r="B538" s="3" t="s">
        <v>1194</v>
      </c>
      <c r="C538" t="s">
        <v>1195</v>
      </c>
      <c r="D538" t="s">
        <v>17</v>
      </c>
      <c r="E538" t="s">
        <v>80</v>
      </c>
      <c r="F538" t="s">
        <v>19</v>
      </c>
      <c r="G538" t="s">
        <v>29</v>
      </c>
      <c r="H538" t="s">
        <v>199</v>
      </c>
      <c r="I538" s="4">
        <v>7361.84</v>
      </c>
      <c r="J538">
        <v>8</v>
      </c>
      <c r="K538" s="2">
        <v>0.05</v>
      </c>
      <c r="L538" s="4">
        <v>524.84</v>
      </c>
      <c r="M538" t="s">
        <v>22</v>
      </c>
      <c r="N538" t="s">
        <v>23</v>
      </c>
      <c r="O538">
        <f>YEAR(Table1[[#This Row],[Order Date]])</f>
        <v>2024</v>
      </c>
      <c r="P538" t="str">
        <f>TEXT(Table1[[#This Row],[Order Date]],"mmmm")</f>
        <v>December</v>
      </c>
      <c r="Q538" t="str">
        <f>TEXT(Table1[[#This Row],[Order Date]],"mm")</f>
        <v>12</v>
      </c>
      <c r="R538" s="2">
        <f>Table1[[#This Row],[Profit]]/Table1[[#This Row],[Sales]]</f>
        <v>7.1291959618790951E-2</v>
      </c>
      <c r="S538" t="str">
        <f t="shared" si="8"/>
        <v>Low (1-10%)</v>
      </c>
    </row>
    <row r="539" spans="1:19" x14ac:dyDescent="0.2">
      <c r="A539" t="s">
        <v>1196</v>
      </c>
      <c r="B539" s="3" t="s">
        <v>255</v>
      </c>
      <c r="C539" t="s">
        <v>571</v>
      </c>
      <c r="D539" t="s">
        <v>17</v>
      </c>
      <c r="E539" t="s">
        <v>54</v>
      </c>
      <c r="F539" t="s">
        <v>19</v>
      </c>
      <c r="G539" t="s">
        <v>36</v>
      </c>
      <c r="H539" t="s">
        <v>111</v>
      </c>
      <c r="I539" s="4">
        <v>2156.88</v>
      </c>
      <c r="J539">
        <v>3</v>
      </c>
      <c r="K539" s="2">
        <v>0.1</v>
      </c>
      <c r="L539" s="4">
        <v>218.13</v>
      </c>
      <c r="M539" t="s">
        <v>87</v>
      </c>
      <c r="N539" t="s">
        <v>39</v>
      </c>
      <c r="O539">
        <f>YEAR(Table1[[#This Row],[Order Date]])</f>
        <v>2024</v>
      </c>
      <c r="P539" t="str">
        <f>TEXT(Table1[[#This Row],[Order Date]],"mmmm")</f>
        <v>April</v>
      </c>
      <c r="Q539" t="str">
        <f>TEXT(Table1[[#This Row],[Order Date]],"mm")</f>
        <v>04</v>
      </c>
      <c r="R539" s="2">
        <f>Table1[[#This Row],[Profit]]/Table1[[#This Row],[Sales]]</f>
        <v>0.10113219094247246</v>
      </c>
      <c r="S539" t="str">
        <f t="shared" si="8"/>
        <v>Low (1-10%)</v>
      </c>
    </row>
    <row r="540" spans="1:19" x14ac:dyDescent="0.2">
      <c r="A540" t="s">
        <v>1197</v>
      </c>
      <c r="B540" s="3" t="s">
        <v>568</v>
      </c>
      <c r="C540" t="s">
        <v>1062</v>
      </c>
      <c r="D540" t="s">
        <v>27</v>
      </c>
      <c r="E540" t="s">
        <v>124</v>
      </c>
      <c r="F540" t="s">
        <v>67</v>
      </c>
      <c r="G540" t="s">
        <v>115</v>
      </c>
      <c r="H540" t="s">
        <v>116</v>
      </c>
      <c r="I540" s="4">
        <v>3635.45</v>
      </c>
      <c r="J540">
        <v>7</v>
      </c>
      <c r="K540" s="2">
        <v>0.25</v>
      </c>
      <c r="L540" s="4">
        <v>105.07</v>
      </c>
      <c r="M540" t="s">
        <v>31</v>
      </c>
      <c r="N540" t="s">
        <v>32</v>
      </c>
      <c r="O540">
        <f>YEAR(Table1[[#This Row],[Order Date]])</f>
        <v>2025</v>
      </c>
      <c r="P540" t="str">
        <f>TEXT(Table1[[#This Row],[Order Date]],"mmmm")</f>
        <v>December</v>
      </c>
      <c r="Q540" t="str">
        <f>TEXT(Table1[[#This Row],[Order Date]],"mm")</f>
        <v>12</v>
      </c>
      <c r="R540" s="2">
        <f>Table1[[#This Row],[Profit]]/Table1[[#This Row],[Sales]]</f>
        <v>2.8901511504765571E-2</v>
      </c>
      <c r="S540" t="str">
        <f t="shared" si="8"/>
        <v>High (21-30%)</v>
      </c>
    </row>
    <row r="541" spans="1:19" x14ac:dyDescent="0.2">
      <c r="A541" t="s">
        <v>1198</v>
      </c>
      <c r="B541" s="3" t="s">
        <v>1199</v>
      </c>
      <c r="C541" t="s">
        <v>297</v>
      </c>
      <c r="D541" t="s">
        <v>17</v>
      </c>
      <c r="E541" t="s">
        <v>80</v>
      </c>
      <c r="F541" t="s">
        <v>67</v>
      </c>
      <c r="G541" t="s">
        <v>68</v>
      </c>
      <c r="H541" t="s">
        <v>69</v>
      </c>
      <c r="I541" s="4">
        <v>8849.25</v>
      </c>
      <c r="J541">
        <v>9</v>
      </c>
      <c r="K541" s="2">
        <v>0.15</v>
      </c>
      <c r="L541" s="4">
        <v>-501.77</v>
      </c>
      <c r="M541" t="s">
        <v>87</v>
      </c>
      <c r="N541" t="s">
        <v>76</v>
      </c>
      <c r="O541">
        <f>YEAR(Table1[[#This Row],[Order Date]])</f>
        <v>2024</v>
      </c>
      <c r="P541" t="str">
        <f>TEXT(Table1[[#This Row],[Order Date]],"mmmm")</f>
        <v>December</v>
      </c>
      <c r="Q541" t="str">
        <f>TEXT(Table1[[#This Row],[Order Date]],"mm")</f>
        <v>12</v>
      </c>
      <c r="R541" s="2">
        <f>Table1[[#This Row],[Profit]]/Table1[[#This Row],[Sales]]</f>
        <v>-5.6701980393818685E-2</v>
      </c>
      <c r="S541" t="str">
        <f t="shared" si="8"/>
        <v>Medium (11-20%)</v>
      </c>
    </row>
    <row r="542" spans="1:19" x14ac:dyDescent="0.2">
      <c r="A542" t="s">
        <v>1200</v>
      </c>
      <c r="B542" s="3" t="s">
        <v>1201</v>
      </c>
      <c r="C542" t="s">
        <v>678</v>
      </c>
      <c r="D542" t="s">
        <v>17</v>
      </c>
      <c r="E542" t="s">
        <v>18</v>
      </c>
      <c r="F542" t="s">
        <v>55</v>
      </c>
      <c r="G542" t="s">
        <v>74</v>
      </c>
      <c r="H542" t="s">
        <v>272</v>
      </c>
      <c r="I542" s="4">
        <v>1021.31</v>
      </c>
      <c r="J542">
        <v>1</v>
      </c>
      <c r="K542" s="2">
        <v>0.25</v>
      </c>
      <c r="L542" s="4">
        <v>-203.53</v>
      </c>
      <c r="M542" t="s">
        <v>117</v>
      </c>
      <c r="N542" t="s">
        <v>23</v>
      </c>
      <c r="O542">
        <f>YEAR(Table1[[#This Row],[Order Date]])</f>
        <v>2024</v>
      </c>
      <c r="P542" t="str">
        <f>TEXT(Table1[[#This Row],[Order Date]],"mmmm")</f>
        <v>June</v>
      </c>
      <c r="Q542" t="str">
        <f>TEXT(Table1[[#This Row],[Order Date]],"mm")</f>
        <v>06</v>
      </c>
      <c r="R542" s="2">
        <f>Table1[[#This Row],[Profit]]/Table1[[#This Row],[Sales]]</f>
        <v>-0.19928327344293115</v>
      </c>
      <c r="S542" t="str">
        <f t="shared" si="8"/>
        <v>High (21-30%)</v>
      </c>
    </row>
    <row r="543" spans="1:19" x14ac:dyDescent="0.2">
      <c r="A543" t="s">
        <v>1202</v>
      </c>
      <c r="B543" s="3" t="s">
        <v>1033</v>
      </c>
      <c r="C543" t="s">
        <v>468</v>
      </c>
      <c r="D543" t="s">
        <v>27</v>
      </c>
      <c r="E543" t="s">
        <v>43</v>
      </c>
      <c r="F543" t="s">
        <v>19</v>
      </c>
      <c r="G543" t="s">
        <v>29</v>
      </c>
      <c r="H543" t="s">
        <v>199</v>
      </c>
      <c r="I543" s="4">
        <v>3788.4</v>
      </c>
      <c r="J543">
        <v>7</v>
      </c>
      <c r="K543" s="2">
        <v>0.05</v>
      </c>
      <c r="L543" s="4">
        <v>1409.88</v>
      </c>
      <c r="M543" t="s">
        <v>195</v>
      </c>
      <c r="N543" t="s">
        <v>32</v>
      </c>
      <c r="O543">
        <f>YEAR(Table1[[#This Row],[Order Date]])</f>
        <v>2024</v>
      </c>
      <c r="P543" t="str">
        <f>TEXT(Table1[[#This Row],[Order Date]],"mmmm")</f>
        <v>June</v>
      </c>
      <c r="Q543" t="str">
        <f>TEXT(Table1[[#This Row],[Order Date]],"mm")</f>
        <v>06</v>
      </c>
      <c r="R543" s="2">
        <f>Table1[[#This Row],[Profit]]/Table1[[#This Row],[Sales]]</f>
        <v>0.37215711118150147</v>
      </c>
      <c r="S543" t="str">
        <f t="shared" si="8"/>
        <v>Low (1-10%)</v>
      </c>
    </row>
    <row r="544" spans="1:19" x14ac:dyDescent="0.2">
      <c r="A544" t="s">
        <v>1203</v>
      </c>
      <c r="B544" s="3" t="s">
        <v>1204</v>
      </c>
      <c r="C544" t="s">
        <v>1205</v>
      </c>
      <c r="D544" t="s">
        <v>48</v>
      </c>
      <c r="E544" t="s">
        <v>110</v>
      </c>
      <c r="F544" t="s">
        <v>55</v>
      </c>
      <c r="G544" t="s">
        <v>74</v>
      </c>
      <c r="H544" t="s">
        <v>75</v>
      </c>
      <c r="I544" s="4">
        <v>478.08</v>
      </c>
      <c r="J544">
        <v>8</v>
      </c>
      <c r="K544" s="2">
        <v>0.25</v>
      </c>
      <c r="L544" s="4">
        <v>-60.34</v>
      </c>
      <c r="M544" t="s">
        <v>107</v>
      </c>
      <c r="N544" t="s">
        <v>32</v>
      </c>
      <c r="O544">
        <f>YEAR(Table1[[#This Row],[Order Date]])</f>
        <v>2024</v>
      </c>
      <c r="P544" t="str">
        <f>TEXT(Table1[[#This Row],[Order Date]],"mmmm")</f>
        <v>September</v>
      </c>
      <c r="Q544" t="str">
        <f>TEXT(Table1[[#This Row],[Order Date]],"mm")</f>
        <v>09</v>
      </c>
      <c r="R544" s="2">
        <f>Table1[[#This Row],[Profit]]/Table1[[#This Row],[Sales]]</f>
        <v>-0.12621318607764392</v>
      </c>
      <c r="S544" t="str">
        <f t="shared" si="8"/>
        <v>High (21-30%)</v>
      </c>
    </row>
    <row r="545" spans="1:19" x14ac:dyDescent="0.2">
      <c r="A545" t="s">
        <v>1206</v>
      </c>
      <c r="B545" s="3" t="s">
        <v>444</v>
      </c>
      <c r="C545" t="s">
        <v>120</v>
      </c>
      <c r="D545" t="s">
        <v>27</v>
      </c>
      <c r="E545" t="s">
        <v>43</v>
      </c>
      <c r="F545" t="s">
        <v>67</v>
      </c>
      <c r="G545" t="s">
        <v>85</v>
      </c>
      <c r="H545" t="s">
        <v>125</v>
      </c>
      <c r="I545" s="4">
        <v>274.41000000000003</v>
      </c>
      <c r="J545">
        <v>1</v>
      </c>
      <c r="K545" s="2">
        <v>0.1</v>
      </c>
      <c r="L545" s="4">
        <v>17.14</v>
      </c>
      <c r="M545" t="s">
        <v>38</v>
      </c>
      <c r="N545" t="s">
        <v>32</v>
      </c>
      <c r="O545">
        <f>YEAR(Table1[[#This Row],[Order Date]])</f>
        <v>2025</v>
      </c>
      <c r="P545" t="str">
        <f>TEXT(Table1[[#This Row],[Order Date]],"mmmm")</f>
        <v>December</v>
      </c>
      <c r="Q545" t="str">
        <f>TEXT(Table1[[#This Row],[Order Date]],"mm")</f>
        <v>12</v>
      </c>
      <c r="R545" s="2">
        <f>Table1[[#This Row],[Profit]]/Table1[[#This Row],[Sales]]</f>
        <v>6.2461280565577051E-2</v>
      </c>
      <c r="S545" t="str">
        <f t="shared" si="8"/>
        <v>Low (1-10%)</v>
      </c>
    </row>
    <row r="546" spans="1:19" x14ac:dyDescent="0.2">
      <c r="A546" t="s">
        <v>1207</v>
      </c>
      <c r="B546" s="3" t="s">
        <v>1208</v>
      </c>
      <c r="C546" t="s">
        <v>175</v>
      </c>
      <c r="D546" t="s">
        <v>48</v>
      </c>
      <c r="E546" t="s">
        <v>84</v>
      </c>
      <c r="F546" t="s">
        <v>55</v>
      </c>
      <c r="G546" t="s">
        <v>56</v>
      </c>
      <c r="H546" t="s">
        <v>57</v>
      </c>
      <c r="I546" s="4">
        <v>8345.7000000000007</v>
      </c>
      <c r="J546">
        <v>9</v>
      </c>
      <c r="K546" s="2">
        <v>0</v>
      </c>
      <c r="L546" s="4">
        <v>1095.27</v>
      </c>
      <c r="M546" t="s">
        <v>195</v>
      </c>
      <c r="N546" t="s">
        <v>39</v>
      </c>
      <c r="O546">
        <f>YEAR(Table1[[#This Row],[Order Date]])</f>
        <v>2025</v>
      </c>
      <c r="P546" t="str">
        <f>TEXT(Table1[[#This Row],[Order Date]],"mmmm")</f>
        <v>September</v>
      </c>
      <c r="Q546" t="str">
        <f>TEXT(Table1[[#This Row],[Order Date]],"mm")</f>
        <v>09</v>
      </c>
      <c r="R546" s="2">
        <f>Table1[[#This Row],[Profit]]/Table1[[#This Row],[Sales]]</f>
        <v>0.13123764333728746</v>
      </c>
      <c r="S546" t="str">
        <f t="shared" si="8"/>
        <v>No Discount</v>
      </c>
    </row>
    <row r="547" spans="1:19" x14ac:dyDescent="0.2">
      <c r="A547" t="s">
        <v>1209</v>
      </c>
      <c r="B547" s="3" t="s">
        <v>748</v>
      </c>
      <c r="C547" t="s">
        <v>556</v>
      </c>
      <c r="D547" t="s">
        <v>137</v>
      </c>
      <c r="E547" t="s">
        <v>138</v>
      </c>
      <c r="F547" t="s">
        <v>55</v>
      </c>
      <c r="G547" t="s">
        <v>98</v>
      </c>
      <c r="H547" t="s">
        <v>154</v>
      </c>
      <c r="I547" s="4">
        <v>1964.58</v>
      </c>
      <c r="J547">
        <v>2</v>
      </c>
      <c r="K547" s="2">
        <v>0.3</v>
      </c>
      <c r="L547" s="4">
        <v>-330.67</v>
      </c>
      <c r="M547" t="s">
        <v>143</v>
      </c>
      <c r="N547" t="s">
        <v>23</v>
      </c>
      <c r="O547">
        <f>YEAR(Table1[[#This Row],[Order Date]])</f>
        <v>2025</v>
      </c>
      <c r="P547" t="str">
        <f>TEXT(Table1[[#This Row],[Order Date]],"mmmm")</f>
        <v>September</v>
      </c>
      <c r="Q547" t="str">
        <f>TEXT(Table1[[#This Row],[Order Date]],"mm")</f>
        <v>09</v>
      </c>
      <c r="R547" s="2">
        <f>Table1[[#This Row],[Profit]]/Table1[[#This Row],[Sales]]</f>
        <v>-0.1683158741308575</v>
      </c>
      <c r="S547" t="str">
        <f t="shared" si="8"/>
        <v>High (21-30%)</v>
      </c>
    </row>
    <row r="548" spans="1:19" x14ac:dyDescent="0.2">
      <c r="A548" t="s">
        <v>1210</v>
      </c>
      <c r="B548" s="3" t="s">
        <v>542</v>
      </c>
      <c r="C548" t="s">
        <v>153</v>
      </c>
      <c r="D548" t="s">
        <v>17</v>
      </c>
      <c r="E548" t="s">
        <v>54</v>
      </c>
      <c r="F548" t="s">
        <v>67</v>
      </c>
      <c r="G548" t="s">
        <v>85</v>
      </c>
      <c r="H548" t="s">
        <v>125</v>
      </c>
      <c r="I548" s="4">
        <v>1921.92</v>
      </c>
      <c r="J548">
        <v>8</v>
      </c>
      <c r="K548" s="2">
        <v>0</v>
      </c>
      <c r="L548" s="4">
        <v>470.38</v>
      </c>
      <c r="M548" t="s">
        <v>63</v>
      </c>
      <c r="N548" t="s">
        <v>39</v>
      </c>
      <c r="O548">
        <f>YEAR(Table1[[#This Row],[Order Date]])</f>
        <v>2024</v>
      </c>
      <c r="P548" t="str">
        <f>TEXT(Table1[[#This Row],[Order Date]],"mmmm")</f>
        <v>June</v>
      </c>
      <c r="Q548" t="str">
        <f>TEXT(Table1[[#This Row],[Order Date]],"mm")</f>
        <v>06</v>
      </c>
      <c r="R548" s="2">
        <f>Table1[[#This Row],[Profit]]/Table1[[#This Row],[Sales]]</f>
        <v>0.2447448384948385</v>
      </c>
      <c r="S548" t="str">
        <f t="shared" si="8"/>
        <v>No Discount</v>
      </c>
    </row>
    <row r="549" spans="1:19" x14ac:dyDescent="0.2">
      <c r="A549" t="s">
        <v>1211</v>
      </c>
      <c r="B549" s="3" t="s">
        <v>1212</v>
      </c>
      <c r="C549" t="s">
        <v>402</v>
      </c>
      <c r="D549" t="s">
        <v>48</v>
      </c>
      <c r="E549" t="s">
        <v>73</v>
      </c>
      <c r="F549" t="s">
        <v>19</v>
      </c>
      <c r="G549" t="s">
        <v>29</v>
      </c>
      <c r="H549" t="s">
        <v>30</v>
      </c>
      <c r="I549" s="4">
        <v>366.1</v>
      </c>
      <c r="J549">
        <v>5</v>
      </c>
      <c r="K549" s="2">
        <v>0</v>
      </c>
      <c r="L549" s="4">
        <v>106.37</v>
      </c>
      <c r="M549" t="s">
        <v>117</v>
      </c>
      <c r="N549" t="s">
        <v>23</v>
      </c>
      <c r="O549">
        <f>YEAR(Table1[[#This Row],[Order Date]])</f>
        <v>2025</v>
      </c>
      <c r="P549" t="str">
        <f>TEXT(Table1[[#This Row],[Order Date]],"mmmm")</f>
        <v>October</v>
      </c>
      <c r="Q549" t="str">
        <f>TEXT(Table1[[#This Row],[Order Date]],"mm")</f>
        <v>10</v>
      </c>
      <c r="R549" s="2">
        <f>Table1[[#This Row],[Profit]]/Table1[[#This Row],[Sales]]</f>
        <v>0.29054903031958479</v>
      </c>
      <c r="S549" t="str">
        <f t="shared" si="8"/>
        <v>No Discount</v>
      </c>
    </row>
    <row r="550" spans="1:19" x14ac:dyDescent="0.2">
      <c r="A550" t="s">
        <v>1213</v>
      </c>
      <c r="B550" s="3" t="s">
        <v>377</v>
      </c>
      <c r="C550" t="s">
        <v>745</v>
      </c>
      <c r="D550" t="s">
        <v>27</v>
      </c>
      <c r="E550" t="s">
        <v>124</v>
      </c>
      <c r="F550" t="s">
        <v>55</v>
      </c>
      <c r="G550" t="s">
        <v>98</v>
      </c>
      <c r="H550" t="s">
        <v>150</v>
      </c>
      <c r="I550" s="4">
        <v>5232.2</v>
      </c>
      <c r="J550">
        <v>10</v>
      </c>
      <c r="K550" s="2">
        <v>0.1</v>
      </c>
      <c r="L550" s="4">
        <v>54.66</v>
      </c>
      <c r="M550" t="s">
        <v>117</v>
      </c>
      <c r="N550" t="s">
        <v>23</v>
      </c>
      <c r="O550">
        <f>YEAR(Table1[[#This Row],[Order Date]])</f>
        <v>2024</v>
      </c>
      <c r="P550" t="str">
        <f>TEXT(Table1[[#This Row],[Order Date]],"mmmm")</f>
        <v>April</v>
      </c>
      <c r="Q550" t="str">
        <f>TEXT(Table1[[#This Row],[Order Date]],"mm")</f>
        <v>04</v>
      </c>
      <c r="R550" s="2">
        <f>Table1[[#This Row],[Profit]]/Table1[[#This Row],[Sales]]</f>
        <v>1.0446848362065671E-2</v>
      </c>
      <c r="S550" t="str">
        <f t="shared" si="8"/>
        <v>Low (1-10%)</v>
      </c>
    </row>
    <row r="551" spans="1:19" x14ac:dyDescent="0.2">
      <c r="A551" t="s">
        <v>1214</v>
      </c>
      <c r="B551" s="3" t="s">
        <v>1215</v>
      </c>
      <c r="C551" t="s">
        <v>640</v>
      </c>
      <c r="D551" t="s">
        <v>137</v>
      </c>
      <c r="E551" t="s">
        <v>160</v>
      </c>
      <c r="F551" t="s">
        <v>19</v>
      </c>
      <c r="G551" t="s">
        <v>20</v>
      </c>
      <c r="H551" t="s">
        <v>21</v>
      </c>
      <c r="I551" s="4">
        <v>2300.04</v>
      </c>
      <c r="J551">
        <v>9</v>
      </c>
      <c r="K551" s="2">
        <v>0.15</v>
      </c>
      <c r="L551" s="4">
        <v>41.67</v>
      </c>
      <c r="M551" t="s">
        <v>143</v>
      </c>
      <c r="N551" t="s">
        <v>76</v>
      </c>
      <c r="O551">
        <f>YEAR(Table1[[#This Row],[Order Date]])</f>
        <v>2024</v>
      </c>
      <c r="P551" t="str">
        <f>TEXT(Table1[[#This Row],[Order Date]],"mmmm")</f>
        <v>August</v>
      </c>
      <c r="Q551" t="str">
        <f>TEXT(Table1[[#This Row],[Order Date]],"mm")</f>
        <v>08</v>
      </c>
      <c r="R551" s="2">
        <f>Table1[[#This Row],[Profit]]/Table1[[#This Row],[Sales]]</f>
        <v>1.811707622476131E-2</v>
      </c>
      <c r="S551" t="str">
        <f t="shared" si="8"/>
        <v>Medium (11-20%)</v>
      </c>
    </row>
    <row r="552" spans="1:19" x14ac:dyDescent="0.2">
      <c r="A552" t="s">
        <v>1216</v>
      </c>
      <c r="B552" s="3" t="s">
        <v>913</v>
      </c>
      <c r="C552" t="s">
        <v>319</v>
      </c>
      <c r="D552" t="s">
        <v>48</v>
      </c>
      <c r="E552" t="s">
        <v>110</v>
      </c>
      <c r="F552" t="s">
        <v>67</v>
      </c>
      <c r="G552" t="s">
        <v>115</v>
      </c>
      <c r="H552" t="s">
        <v>212</v>
      </c>
      <c r="I552" s="4">
        <v>713.92</v>
      </c>
      <c r="J552">
        <v>4</v>
      </c>
      <c r="K552" s="2">
        <v>0.3</v>
      </c>
      <c r="L552" s="4">
        <v>-81.11</v>
      </c>
      <c r="M552" t="s">
        <v>195</v>
      </c>
      <c r="N552" t="s">
        <v>23</v>
      </c>
      <c r="O552">
        <f>YEAR(Table1[[#This Row],[Order Date]])</f>
        <v>2025</v>
      </c>
      <c r="P552" t="str">
        <f>TEXT(Table1[[#This Row],[Order Date]],"mmmm")</f>
        <v>October</v>
      </c>
      <c r="Q552" t="str">
        <f>TEXT(Table1[[#This Row],[Order Date]],"mm")</f>
        <v>10</v>
      </c>
      <c r="R552" s="2">
        <f>Table1[[#This Row],[Profit]]/Table1[[#This Row],[Sales]]</f>
        <v>-0.11361216943074855</v>
      </c>
      <c r="S552" t="str">
        <f t="shared" si="8"/>
        <v>High (21-30%)</v>
      </c>
    </row>
    <row r="553" spans="1:19" x14ac:dyDescent="0.2">
      <c r="A553" t="s">
        <v>1217</v>
      </c>
      <c r="B553" s="3" t="s">
        <v>1218</v>
      </c>
      <c r="C553" t="s">
        <v>271</v>
      </c>
      <c r="D553" t="s">
        <v>17</v>
      </c>
      <c r="E553" t="s">
        <v>97</v>
      </c>
      <c r="F553" t="s">
        <v>19</v>
      </c>
      <c r="G553" t="s">
        <v>20</v>
      </c>
      <c r="H553" t="s">
        <v>347</v>
      </c>
      <c r="I553" s="4">
        <v>9642</v>
      </c>
      <c r="J553">
        <v>10</v>
      </c>
      <c r="K553" s="2">
        <v>0.05</v>
      </c>
      <c r="L553" s="4">
        <v>3118.83</v>
      </c>
      <c r="M553" t="s">
        <v>117</v>
      </c>
      <c r="N553" t="s">
        <v>32</v>
      </c>
      <c r="O553">
        <f>YEAR(Table1[[#This Row],[Order Date]])</f>
        <v>2024</v>
      </c>
      <c r="P553" t="str">
        <f>TEXT(Table1[[#This Row],[Order Date]],"mmmm")</f>
        <v>September</v>
      </c>
      <c r="Q553" t="str">
        <f>TEXT(Table1[[#This Row],[Order Date]],"mm")</f>
        <v>09</v>
      </c>
      <c r="R553" s="2">
        <f>Table1[[#This Row],[Profit]]/Table1[[#This Row],[Sales]]</f>
        <v>0.32346297448662104</v>
      </c>
      <c r="S553" t="str">
        <f t="shared" si="8"/>
        <v>Low (1-10%)</v>
      </c>
    </row>
    <row r="554" spans="1:19" x14ac:dyDescent="0.2">
      <c r="A554" t="s">
        <v>1219</v>
      </c>
      <c r="B554" s="3" t="s">
        <v>1220</v>
      </c>
      <c r="C554" t="s">
        <v>766</v>
      </c>
      <c r="D554" t="s">
        <v>17</v>
      </c>
      <c r="E554" t="s">
        <v>54</v>
      </c>
      <c r="F554" t="s">
        <v>55</v>
      </c>
      <c r="G554" t="s">
        <v>56</v>
      </c>
      <c r="H554" t="s">
        <v>62</v>
      </c>
      <c r="I554" s="4">
        <v>6976.6</v>
      </c>
      <c r="J554">
        <v>10</v>
      </c>
      <c r="K554" s="2">
        <v>0.1</v>
      </c>
      <c r="L554" s="4">
        <v>104.48</v>
      </c>
      <c r="M554" t="s">
        <v>117</v>
      </c>
      <c r="N554" t="s">
        <v>32</v>
      </c>
      <c r="O554">
        <f>YEAR(Table1[[#This Row],[Order Date]])</f>
        <v>2024</v>
      </c>
      <c r="P554" t="str">
        <f>TEXT(Table1[[#This Row],[Order Date]],"mmmm")</f>
        <v>November</v>
      </c>
      <c r="Q554" t="str">
        <f>TEXT(Table1[[#This Row],[Order Date]],"mm")</f>
        <v>11</v>
      </c>
      <c r="R554" s="2">
        <f>Table1[[#This Row],[Profit]]/Table1[[#This Row],[Sales]]</f>
        <v>1.4975776166040764E-2</v>
      </c>
      <c r="S554" t="str">
        <f t="shared" si="8"/>
        <v>Low (1-10%)</v>
      </c>
    </row>
    <row r="555" spans="1:19" x14ac:dyDescent="0.2">
      <c r="A555" t="s">
        <v>1221</v>
      </c>
      <c r="B555" s="3" t="s">
        <v>431</v>
      </c>
      <c r="C555" t="s">
        <v>60</v>
      </c>
      <c r="D555" t="s">
        <v>27</v>
      </c>
      <c r="E555" t="s">
        <v>28</v>
      </c>
      <c r="F555" t="s">
        <v>67</v>
      </c>
      <c r="G555" t="s">
        <v>115</v>
      </c>
      <c r="H555" t="s">
        <v>178</v>
      </c>
      <c r="I555" s="4">
        <v>730.54</v>
      </c>
      <c r="J555">
        <v>1</v>
      </c>
      <c r="K555" s="2">
        <v>0.3</v>
      </c>
      <c r="L555" s="4">
        <v>-52.12</v>
      </c>
      <c r="M555" t="s">
        <v>63</v>
      </c>
      <c r="N555" t="s">
        <v>39</v>
      </c>
      <c r="O555">
        <f>YEAR(Table1[[#This Row],[Order Date]])</f>
        <v>2025</v>
      </c>
      <c r="P555" t="str">
        <f>TEXT(Table1[[#This Row],[Order Date]],"mmmm")</f>
        <v>April</v>
      </c>
      <c r="Q555" t="str">
        <f>TEXT(Table1[[#This Row],[Order Date]],"mm")</f>
        <v>04</v>
      </c>
      <c r="R555" s="2">
        <f>Table1[[#This Row],[Profit]]/Table1[[#This Row],[Sales]]</f>
        <v>-7.1344484901579658E-2</v>
      </c>
      <c r="S555" t="str">
        <f t="shared" si="8"/>
        <v>High (21-30%)</v>
      </c>
    </row>
    <row r="556" spans="1:19" x14ac:dyDescent="0.2">
      <c r="A556" t="s">
        <v>1222</v>
      </c>
      <c r="B556" s="3" t="s">
        <v>1223</v>
      </c>
      <c r="C556" t="s">
        <v>932</v>
      </c>
      <c r="D556" t="s">
        <v>137</v>
      </c>
      <c r="E556" t="s">
        <v>160</v>
      </c>
      <c r="F556" t="s">
        <v>19</v>
      </c>
      <c r="G556" t="s">
        <v>29</v>
      </c>
      <c r="H556" t="s">
        <v>199</v>
      </c>
      <c r="I556" s="4">
        <v>11849.4</v>
      </c>
      <c r="J556">
        <v>10</v>
      </c>
      <c r="K556" s="2">
        <v>0.05</v>
      </c>
      <c r="L556" s="4">
        <v>3045.5</v>
      </c>
      <c r="M556" t="s">
        <v>38</v>
      </c>
      <c r="N556" t="s">
        <v>76</v>
      </c>
      <c r="O556">
        <f>YEAR(Table1[[#This Row],[Order Date]])</f>
        <v>2025</v>
      </c>
      <c r="P556" t="str">
        <f>TEXT(Table1[[#This Row],[Order Date]],"mmmm")</f>
        <v>June</v>
      </c>
      <c r="Q556" t="str">
        <f>TEXT(Table1[[#This Row],[Order Date]],"mm")</f>
        <v>06</v>
      </c>
      <c r="R556" s="2">
        <f>Table1[[#This Row],[Profit]]/Table1[[#This Row],[Sales]]</f>
        <v>0.25701723294006451</v>
      </c>
      <c r="S556" t="str">
        <f t="shared" si="8"/>
        <v>Low (1-10%)</v>
      </c>
    </row>
    <row r="557" spans="1:19" x14ac:dyDescent="0.2">
      <c r="A557" t="s">
        <v>1224</v>
      </c>
      <c r="B557" s="3" t="s">
        <v>1129</v>
      </c>
      <c r="C557" t="s">
        <v>911</v>
      </c>
      <c r="D557" t="s">
        <v>27</v>
      </c>
      <c r="E557" t="s">
        <v>43</v>
      </c>
      <c r="F557" t="s">
        <v>67</v>
      </c>
      <c r="G557" t="s">
        <v>115</v>
      </c>
      <c r="H557" t="s">
        <v>178</v>
      </c>
      <c r="I557" s="4">
        <v>5109.68</v>
      </c>
      <c r="J557">
        <v>8</v>
      </c>
      <c r="K557" s="2">
        <v>0.15</v>
      </c>
      <c r="L557" s="4">
        <v>1053.33</v>
      </c>
      <c r="M557" t="s">
        <v>117</v>
      </c>
      <c r="N557" t="s">
        <v>76</v>
      </c>
      <c r="O557">
        <f>YEAR(Table1[[#This Row],[Order Date]])</f>
        <v>2024</v>
      </c>
      <c r="P557" t="str">
        <f>TEXT(Table1[[#This Row],[Order Date]],"mmmm")</f>
        <v>March</v>
      </c>
      <c r="Q557" t="str">
        <f>TEXT(Table1[[#This Row],[Order Date]],"mm")</f>
        <v>03</v>
      </c>
      <c r="R557" s="2">
        <f>Table1[[#This Row],[Profit]]/Table1[[#This Row],[Sales]]</f>
        <v>0.206144024674735</v>
      </c>
      <c r="S557" t="str">
        <f t="shared" si="8"/>
        <v>Medium (11-20%)</v>
      </c>
    </row>
    <row r="558" spans="1:19" x14ac:dyDescent="0.2">
      <c r="A558" t="s">
        <v>1225</v>
      </c>
      <c r="B558" s="3" t="s">
        <v>1226</v>
      </c>
      <c r="C558" t="s">
        <v>851</v>
      </c>
      <c r="D558" t="s">
        <v>48</v>
      </c>
      <c r="E558" t="s">
        <v>84</v>
      </c>
      <c r="F558" t="s">
        <v>55</v>
      </c>
      <c r="G558" t="s">
        <v>56</v>
      </c>
      <c r="H558" t="s">
        <v>62</v>
      </c>
      <c r="I558" s="4">
        <v>3538.53</v>
      </c>
      <c r="J558">
        <v>9</v>
      </c>
      <c r="K558" s="2">
        <v>0.05</v>
      </c>
      <c r="L558" s="4">
        <v>1201.26</v>
      </c>
      <c r="M558" t="s">
        <v>63</v>
      </c>
      <c r="N558" t="s">
        <v>32</v>
      </c>
      <c r="O558">
        <f>YEAR(Table1[[#This Row],[Order Date]])</f>
        <v>2024</v>
      </c>
      <c r="P558" t="str">
        <f>TEXT(Table1[[#This Row],[Order Date]],"mmmm")</f>
        <v>September</v>
      </c>
      <c r="Q558" t="str">
        <f>TEXT(Table1[[#This Row],[Order Date]],"mm")</f>
        <v>09</v>
      </c>
      <c r="R558" s="2">
        <f>Table1[[#This Row],[Profit]]/Table1[[#This Row],[Sales]]</f>
        <v>0.3394799535400293</v>
      </c>
      <c r="S558" t="str">
        <f t="shared" si="8"/>
        <v>Low (1-10%)</v>
      </c>
    </row>
    <row r="559" spans="1:19" x14ac:dyDescent="0.2">
      <c r="A559" t="s">
        <v>1227</v>
      </c>
      <c r="B559" s="3" t="s">
        <v>1228</v>
      </c>
      <c r="C559" t="s">
        <v>994</v>
      </c>
      <c r="D559" t="s">
        <v>137</v>
      </c>
      <c r="E559" t="s">
        <v>142</v>
      </c>
      <c r="F559" t="s">
        <v>67</v>
      </c>
      <c r="G559" t="s">
        <v>85</v>
      </c>
      <c r="H559" t="s">
        <v>125</v>
      </c>
      <c r="I559" s="4">
        <v>329.82</v>
      </c>
      <c r="J559">
        <v>3</v>
      </c>
      <c r="K559" s="2">
        <v>0.3</v>
      </c>
      <c r="L559" s="4">
        <v>46.13</v>
      </c>
      <c r="M559" t="s">
        <v>38</v>
      </c>
      <c r="N559" t="s">
        <v>23</v>
      </c>
      <c r="O559">
        <f>YEAR(Table1[[#This Row],[Order Date]])</f>
        <v>2024</v>
      </c>
      <c r="P559" t="str">
        <f>TEXT(Table1[[#This Row],[Order Date]],"mmmm")</f>
        <v>August</v>
      </c>
      <c r="Q559" t="str">
        <f>TEXT(Table1[[#This Row],[Order Date]],"mm")</f>
        <v>08</v>
      </c>
      <c r="R559" s="2">
        <f>Table1[[#This Row],[Profit]]/Table1[[#This Row],[Sales]]</f>
        <v>0.13986416833424292</v>
      </c>
      <c r="S559" t="str">
        <f t="shared" si="8"/>
        <v>High (21-30%)</v>
      </c>
    </row>
    <row r="560" spans="1:19" x14ac:dyDescent="0.2">
      <c r="A560" t="s">
        <v>1229</v>
      </c>
      <c r="B560" s="3" t="s">
        <v>649</v>
      </c>
      <c r="C560" t="s">
        <v>498</v>
      </c>
      <c r="D560" t="s">
        <v>27</v>
      </c>
      <c r="E560" t="s">
        <v>61</v>
      </c>
      <c r="F560" t="s">
        <v>55</v>
      </c>
      <c r="G560" t="s">
        <v>98</v>
      </c>
      <c r="H560" t="s">
        <v>99</v>
      </c>
      <c r="I560" s="4">
        <v>7660</v>
      </c>
      <c r="J560">
        <v>10</v>
      </c>
      <c r="K560" s="2">
        <v>0.3</v>
      </c>
      <c r="L560" s="4">
        <v>-782</v>
      </c>
      <c r="M560" t="s">
        <v>22</v>
      </c>
      <c r="N560" t="s">
        <v>39</v>
      </c>
      <c r="O560">
        <f>YEAR(Table1[[#This Row],[Order Date]])</f>
        <v>2025</v>
      </c>
      <c r="P560" t="str">
        <f>TEXT(Table1[[#This Row],[Order Date]],"mmmm")</f>
        <v>June</v>
      </c>
      <c r="Q560" t="str">
        <f>TEXT(Table1[[#This Row],[Order Date]],"mm")</f>
        <v>06</v>
      </c>
      <c r="R560" s="2">
        <f>Table1[[#This Row],[Profit]]/Table1[[#This Row],[Sales]]</f>
        <v>-0.102088772845953</v>
      </c>
      <c r="S560" t="str">
        <f t="shared" si="8"/>
        <v>High (21-30%)</v>
      </c>
    </row>
    <row r="561" spans="1:19" x14ac:dyDescent="0.2">
      <c r="A561" t="s">
        <v>1230</v>
      </c>
      <c r="B561" s="3" t="s">
        <v>1231</v>
      </c>
      <c r="C561" t="s">
        <v>159</v>
      </c>
      <c r="D561" t="s">
        <v>17</v>
      </c>
      <c r="E561" t="s">
        <v>54</v>
      </c>
      <c r="F561" t="s">
        <v>67</v>
      </c>
      <c r="G561" t="s">
        <v>68</v>
      </c>
      <c r="H561" t="s">
        <v>382</v>
      </c>
      <c r="I561" s="4">
        <v>6266.26</v>
      </c>
      <c r="J561">
        <v>7</v>
      </c>
      <c r="K561" s="2">
        <v>0.3</v>
      </c>
      <c r="L561" s="4">
        <v>922.6</v>
      </c>
      <c r="M561" t="s">
        <v>31</v>
      </c>
      <c r="N561" t="s">
        <v>32</v>
      </c>
      <c r="O561">
        <f>YEAR(Table1[[#This Row],[Order Date]])</f>
        <v>2025</v>
      </c>
      <c r="P561" t="str">
        <f>TEXT(Table1[[#This Row],[Order Date]],"mmmm")</f>
        <v>February</v>
      </c>
      <c r="Q561" t="str">
        <f>TEXT(Table1[[#This Row],[Order Date]],"mm")</f>
        <v>02</v>
      </c>
      <c r="R561" s="2">
        <f>Table1[[#This Row],[Profit]]/Table1[[#This Row],[Sales]]</f>
        <v>0.14723295873455619</v>
      </c>
      <c r="S561" t="str">
        <f t="shared" si="8"/>
        <v>High (21-30%)</v>
      </c>
    </row>
    <row r="562" spans="1:19" x14ac:dyDescent="0.2">
      <c r="A562" t="s">
        <v>1232</v>
      </c>
      <c r="B562" s="3" t="s">
        <v>996</v>
      </c>
      <c r="C562" t="s">
        <v>646</v>
      </c>
      <c r="D562" t="s">
        <v>48</v>
      </c>
      <c r="E562" t="s">
        <v>110</v>
      </c>
      <c r="F562" t="s">
        <v>55</v>
      </c>
      <c r="G562" t="s">
        <v>98</v>
      </c>
      <c r="H562" t="s">
        <v>99</v>
      </c>
      <c r="I562" s="4">
        <v>541.08000000000004</v>
      </c>
      <c r="J562">
        <v>1</v>
      </c>
      <c r="K562" s="2">
        <v>0.1</v>
      </c>
      <c r="L562" s="4">
        <v>108.78</v>
      </c>
      <c r="M562" t="s">
        <v>195</v>
      </c>
      <c r="N562" t="s">
        <v>23</v>
      </c>
      <c r="O562">
        <f>YEAR(Table1[[#This Row],[Order Date]])</f>
        <v>2025</v>
      </c>
      <c r="P562" t="str">
        <f>TEXT(Table1[[#This Row],[Order Date]],"mmmm")</f>
        <v>July</v>
      </c>
      <c r="Q562" t="str">
        <f>TEXT(Table1[[#This Row],[Order Date]],"mm")</f>
        <v>07</v>
      </c>
      <c r="R562" s="2">
        <f>Table1[[#This Row],[Profit]]/Table1[[#This Row],[Sales]]</f>
        <v>0.20104235972499443</v>
      </c>
      <c r="S562" t="str">
        <f t="shared" si="8"/>
        <v>Low (1-10%)</v>
      </c>
    </row>
    <row r="563" spans="1:19" x14ac:dyDescent="0.2">
      <c r="A563" t="s">
        <v>1233</v>
      </c>
      <c r="B563" s="3" t="s">
        <v>863</v>
      </c>
      <c r="C563" t="s">
        <v>1234</v>
      </c>
      <c r="D563" t="s">
        <v>48</v>
      </c>
      <c r="E563" t="s">
        <v>110</v>
      </c>
      <c r="F563" t="s">
        <v>19</v>
      </c>
      <c r="G563" t="s">
        <v>29</v>
      </c>
      <c r="H563" t="s">
        <v>50</v>
      </c>
      <c r="I563" s="4">
        <v>6984.72</v>
      </c>
      <c r="J563">
        <v>6</v>
      </c>
      <c r="K563" s="2">
        <v>0</v>
      </c>
      <c r="L563" s="4">
        <v>2118.85</v>
      </c>
      <c r="M563" t="s">
        <v>143</v>
      </c>
      <c r="N563" t="s">
        <v>32</v>
      </c>
      <c r="O563">
        <f>YEAR(Table1[[#This Row],[Order Date]])</f>
        <v>2024</v>
      </c>
      <c r="P563" t="str">
        <f>TEXT(Table1[[#This Row],[Order Date]],"mmmm")</f>
        <v>September</v>
      </c>
      <c r="Q563" t="str">
        <f>TEXT(Table1[[#This Row],[Order Date]],"mm")</f>
        <v>09</v>
      </c>
      <c r="R563" s="2">
        <f>Table1[[#This Row],[Profit]]/Table1[[#This Row],[Sales]]</f>
        <v>0.30335503785405854</v>
      </c>
      <c r="S563" t="str">
        <f t="shared" si="8"/>
        <v>No Discount</v>
      </c>
    </row>
    <row r="564" spans="1:19" x14ac:dyDescent="0.2">
      <c r="A564" t="s">
        <v>1235</v>
      </c>
      <c r="B564" s="3" t="s">
        <v>503</v>
      </c>
      <c r="C564" t="s">
        <v>249</v>
      </c>
      <c r="D564" t="s">
        <v>137</v>
      </c>
      <c r="E564" t="s">
        <v>160</v>
      </c>
      <c r="F564" t="s">
        <v>19</v>
      </c>
      <c r="G564" t="s">
        <v>29</v>
      </c>
      <c r="H564" t="s">
        <v>50</v>
      </c>
      <c r="I564" s="4">
        <v>656.9</v>
      </c>
      <c r="J564">
        <v>5</v>
      </c>
      <c r="K564" s="2">
        <v>0.05</v>
      </c>
      <c r="L564" s="4">
        <v>242.98</v>
      </c>
      <c r="M564" t="s">
        <v>117</v>
      </c>
      <c r="N564" t="s">
        <v>39</v>
      </c>
      <c r="O564">
        <f>YEAR(Table1[[#This Row],[Order Date]])</f>
        <v>2025</v>
      </c>
      <c r="P564" t="str">
        <f>TEXT(Table1[[#This Row],[Order Date]],"mmmm")</f>
        <v>January</v>
      </c>
      <c r="Q564" t="str">
        <f>TEXT(Table1[[#This Row],[Order Date]],"mm")</f>
        <v>01</v>
      </c>
      <c r="R564" s="2">
        <f>Table1[[#This Row],[Profit]]/Table1[[#This Row],[Sales]]</f>
        <v>0.36988887197442533</v>
      </c>
      <c r="S564" t="str">
        <f t="shared" si="8"/>
        <v>Low (1-10%)</v>
      </c>
    </row>
    <row r="565" spans="1:19" x14ac:dyDescent="0.2">
      <c r="A565" t="s">
        <v>1236</v>
      </c>
      <c r="B565" s="3" t="s">
        <v>1237</v>
      </c>
      <c r="C565" t="s">
        <v>218</v>
      </c>
      <c r="D565" t="s">
        <v>137</v>
      </c>
      <c r="E565" t="s">
        <v>242</v>
      </c>
      <c r="F565" t="s">
        <v>55</v>
      </c>
      <c r="G565" t="s">
        <v>74</v>
      </c>
      <c r="H565" t="s">
        <v>272</v>
      </c>
      <c r="I565" s="4">
        <v>4073.23</v>
      </c>
      <c r="J565">
        <v>7</v>
      </c>
      <c r="K565" s="2">
        <v>0.25</v>
      </c>
      <c r="L565" s="4">
        <v>-342.41</v>
      </c>
      <c r="M565" t="s">
        <v>63</v>
      </c>
      <c r="N565" t="s">
        <v>39</v>
      </c>
      <c r="O565">
        <f>YEAR(Table1[[#This Row],[Order Date]])</f>
        <v>2025</v>
      </c>
      <c r="P565" t="str">
        <f>TEXT(Table1[[#This Row],[Order Date]],"mmmm")</f>
        <v>April</v>
      </c>
      <c r="Q565" t="str">
        <f>TEXT(Table1[[#This Row],[Order Date]],"mm")</f>
        <v>04</v>
      </c>
      <c r="R565" s="2">
        <f>Table1[[#This Row],[Profit]]/Table1[[#This Row],[Sales]]</f>
        <v>-8.4063507339384225E-2</v>
      </c>
      <c r="S565" t="str">
        <f t="shared" si="8"/>
        <v>High (21-30%)</v>
      </c>
    </row>
    <row r="566" spans="1:19" x14ac:dyDescent="0.2">
      <c r="A566" t="s">
        <v>1238</v>
      </c>
      <c r="B566" s="3" t="s">
        <v>1153</v>
      </c>
      <c r="C566" t="s">
        <v>218</v>
      </c>
      <c r="D566" t="s">
        <v>48</v>
      </c>
      <c r="E566" t="s">
        <v>49</v>
      </c>
      <c r="F566" t="s">
        <v>67</v>
      </c>
      <c r="G566" t="s">
        <v>115</v>
      </c>
      <c r="H566" t="s">
        <v>116</v>
      </c>
      <c r="I566" s="4">
        <v>2134.12</v>
      </c>
      <c r="J566">
        <v>2</v>
      </c>
      <c r="K566" s="2">
        <v>0.2</v>
      </c>
      <c r="L566" s="4">
        <v>64.67</v>
      </c>
      <c r="M566" t="s">
        <v>38</v>
      </c>
      <c r="N566" t="s">
        <v>23</v>
      </c>
      <c r="O566">
        <f>YEAR(Table1[[#This Row],[Order Date]])</f>
        <v>2024</v>
      </c>
      <c r="P566" t="str">
        <f>TEXT(Table1[[#This Row],[Order Date]],"mmmm")</f>
        <v>June</v>
      </c>
      <c r="Q566" t="str">
        <f>TEXT(Table1[[#This Row],[Order Date]],"mm")</f>
        <v>06</v>
      </c>
      <c r="R566" s="2">
        <f>Table1[[#This Row],[Profit]]/Table1[[#This Row],[Sales]]</f>
        <v>3.0302888309935713E-2</v>
      </c>
      <c r="S566" t="str">
        <f t="shared" si="8"/>
        <v>Medium (11-20%)</v>
      </c>
    </row>
    <row r="567" spans="1:19" x14ac:dyDescent="0.2">
      <c r="A567" t="s">
        <v>1239</v>
      </c>
      <c r="B567" s="3" t="s">
        <v>922</v>
      </c>
      <c r="C567" t="s">
        <v>452</v>
      </c>
      <c r="D567" t="s">
        <v>137</v>
      </c>
      <c r="E567" t="s">
        <v>242</v>
      </c>
      <c r="F567" t="s">
        <v>19</v>
      </c>
      <c r="G567" t="s">
        <v>20</v>
      </c>
      <c r="H567" t="s">
        <v>21</v>
      </c>
      <c r="I567" s="4">
        <v>3297.12</v>
      </c>
      <c r="J567">
        <v>8</v>
      </c>
      <c r="K567" s="2">
        <v>0</v>
      </c>
      <c r="L567" s="4">
        <v>1153.0999999999999</v>
      </c>
      <c r="M567" t="s">
        <v>31</v>
      </c>
      <c r="N567" t="s">
        <v>39</v>
      </c>
      <c r="O567">
        <f>YEAR(Table1[[#This Row],[Order Date]])</f>
        <v>2024</v>
      </c>
      <c r="P567" t="str">
        <f>TEXT(Table1[[#This Row],[Order Date]],"mmmm")</f>
        <v>February</v>
      </c>
      <c r="Q567" t="str">
        <f>TEXT(Table1[[#This Row],[Order Date]],"mm")</f>
        <v>02</v>
      </c>
      <c r="R567" s="2">
        <f>Table1[[#This Row],[Profit]]/Table1[[#This Row],[Sales]]</f>
        <v>0.34972946086281359</v>
      </c>
      <c r="S567" t="str">
        <f t="shared" si="8"/>
        <v>No Discount</v>
      </c>
    </row>
    <row r="568" spans="1:19" x14ac:dyDescent="0.2">
      <c r="A568" t="s">
        <v>1240</v>
      </c>
      <c r="B568" s="3" t="s">
        <v>576</v>
      </c>
      <c r="C568" t="s">
        <v>159</v>
      </c>
      <c r="D568" t="s">
        <v>137</v>
      </c>
      <c r="E568" t="s">
        <v>138</v>
      </c>
      <c r="F568" t="s">
        <v>67</v>
      </c>
      <c r="G568" t="s">
        <v>85</v>
      </c>
      <c r="H568" t="s">
        <v>253</v>
      </c>
      <c r="I568" s="4">
        <v>2884.64</v>
      </c>
      <c r="J568">
        <v>4</v>
      </c>
      <c r="K568" s="2">
        <v>0</v>
      </c>
      <c r="L568" s="4">
        <v>734.3</v>
      </c>
      <c r="M568" t="s">
        <v>44</v>
      </c>
      <c r="N568" t="s">
        <v>39</v>
      </c>
      <c r="O568">
        <f>YEAR(Table1[[#This Row],[Order Date]])</f>
        <v>2024</v>
      </c>
      <c r="P568" t="str">
        <f>TEXT(Table1[[#This Row],[Order Date]],"mmmm")</f>
        <v>October</v>
      </c>
      <c r="Q568" t="str">
        <f>TEXT(Table1[[#This Row],[Order Date]],"mm")</f>
        <v>10</v>
      </c>
      <c r="R568" s="2">
        <f>Table1[[#This Row],[Profit]]/Table1[[#This Row],[Sales]]</f>
        <v>0.25455516112929172</v>
      </c>
      <c r="S568" t="str">
        <f t="shared" si="8"/>
        <v>No Discount</v>
      </c>
    </row>
    <row r="569" spans="1:19" x14ac:dyDescent="0.2">
      <c r="A569" t="s">
        <v>1241</v>
      </c>
      <c r="B569" s="3" t="s">
        <v>457</v>
      </c>
      <c r="C569" t="s">
        <v>192</v>
      </c>
      <c r="D569" t="s">
        <v>48</v>
      </c>
      <c r="E569" t="s">
        <v>110</v>
      </c>
      <c r="F569" t="s">
        <v>19</v>
      </c>
      <c r="G569" t="s">
        <v>20</v>
      </c>
      <c r="H569" t="s">
        <v>239</v>
      </c>
      <c r="I569" s="4">
        <v>2458.56</v>
      </c>
      <c r="J569">
        <v>6</v>
      </c>
      <c r="K569" s="2">
        <v>0.2</v>
      </c>
      <c r="L569" s="4">
        <v>-193.21</v>
      </c>
      <c r="M569" t="s">
        <v>22</v>
      </c>
      <c r="N569" t="s">
        <v>76</v>
      </c>
      <c r="O569">
        <f>YEAR(Table1[[#This Row],[Order Date]])</f>
        <v>2025</v>
      </c>
      <c r="P569" t="str">
        <f>TEXT(Table1[[#This Row],[Order Date]],"mmmm")</f>
        <v>April</v>
      </c>
      <c r="Q569" t="str">
        <f>TEXT(Table1[[#This Row],[Order Date]],"mm")</f>
        <v>04</v>
      </c>
      <c r="R569" s="2">
        <f>Table1[[#This Row],[Profit]]/Table1[[#This Row],[Sales]]</f>
        <v>-7.8586652349342714E-2</v>
      </c>
      <c r="S569" t="str">
        <f t="shared" si="8"/>
        <v>Medium (11-20%)</v>
      </c>
    </row>
    <row r="570" spans="1:19" x14ac:dyDescent="0.2">
      <c r="A570" t="s">
        <v>1242</v>
      </c>
      <c r="B570" s="3" t="s">
        <v>1243</v>
      </c>
      <c r="C570" t="s">
        <v>146</v>
      </c>
      <c r="D570" t="s">
        <v>27</v>
      </c>
      <c r="E570" t="s">
        <v>43</v>
      </c>
      <c r="F570" t="s">
        <v>19</v>
      </c>
      <c r="G570" t="s">
        <v>20</v>
      </c>
      <c r="H570" t="s">
        <v>239</v>
      </c>
      <c r="I570" s="4">
        <v>2110.1999999999998</v>
      </c>
      <c r="J570">
        <v>6</v>
      </c>
      <c r="K570" s="2">
        <v>0.05</v>
      </c>
      <c r="L570" s="4">
        <v>648.38</v>
      </c>
      <c r="M570" t="s">
        <v>63</v>
      </c>
      <c r="N570" t="s">
        <v>39</v>
      </c>
      <c r="O570">
        <f>YEAR(Table1[[#This Row],[Order Date]])</f>
        <v>2025</v>
      </c>
      <c r="P570" t="str">
        <f>TEXT(Table1[[#This Row],[Order Date]],"mmmm")</f>
        <v>November</v>
      </c>
      <c r="Q570" t="str">
        <f>TEXT(Table1[[#This Row],[Order Date]],"mm")</f>
        <v>11</v>
      </c>
      <c r="R570" s="2">
        <f>Table1[[#This Row],[Profit]]/Table1[[#This Row],[Sales]]</f>
        <v>0.30725997535778604</v>
      </c>
      <c r="S570" t="str">
        <f t="shared" si="8"/>
        <v>Low (1-10%)</v>
      </c>
    </row>
    <row r="571" spans="1:19" x14ac:dyDescent="0.2">
      <c r="A571" t="s">
        <v>1244</v>
      </c>
      <c r="B571" s="3" t="s">
        <v>854</v>
      </c>
      <c r="C571" t="s">
        <v>540</v>
      </c>
      <c r="D571" t="s">
        <v>48</v>
      </c>
      <c r="E571" t="s">
        <v>110</v>
      </c>
      <c r="F571" t="s">
        <v>55</v>
      </c>
      <c r="G571" t="s">
        <v>56</v>
      </c>
      <c r="H571" t="s">
        <v>129</v>
      </c>
      <c r="I571" s="4">
        <v>2165.15</v>
      </c>
      <c r="J571">
        <v>5</v>
      </c>
      <c r="K571" s="2">
        <v>0.05</v>
      </c>
      <c r="L571" s="4">
        <v>125</v>
      </c>
      <c r="M571" t="s">
        <v>44</v>
      </c>
      <c r="N571" t="s">
        <v>39</v>
      </c>
      <c r="O571">
        <f>YEAR(Table1[[#This Row],[Order Date]])</f>
        <v>2025</v>
      </c>
      <c r="P571" t="str">
        <f>TEXT(Table1[[#This Row],[Order Date]],"mmmm")</f>
        <v>May</v>
      </c>
      <c r="Q571" t="str">
        <f>TEXT(Table1[[#This Row],[Order Date]],"mm")</f>
        <v>05</v>
      </c>
      <c r="R571" s="2">
        <f>Table1[[#This Row],[Profit]]/Table1[[#This Row],[Sales]]</f>
        <v>5.77327205967254E-2</v>
      </c>
      <c r="S571" t="str">
        <f t="shared" si="8"/>
        <v>Low (1-10%)</v>
      </c>
    </row>
    <row r="572" spans="1:19" x14ac:dyDescent="0.2">
      <c r="A572" t="s">
        <v>1245</v>
      </c>
      <c r="B572" s="3" t="s">
        <v>135</v>
      </c>
      <c r="C572" t="s">
        <v>792</v>
      </c>
      <c r="D572" t="s">
        <v>17</v>
      </c>
      <c r="E572" t="s">
        <v>97</v>
      </c>
      <c r="F572" t="s">
        <v>55</v>
      </c>
      <c r="G572" t="s">
        <v>74</v>
      </c>
      <c r="H572" t="s">
        <v>133</v>
      </c>
      <c r="I572" s="4">
        <v>7786.98</v>
      </c>
      <c r="J572">
        <v>9</v>
      </c>
      <c r="K572" s="2">
        <v>0.25</v>
      </c>
      <c r="L572" s="4">
        <v>1492.1</v>
      </c>
      <c r="M572" t="s">
        <v>22</v>
      </c>
      <c r="N572" t="s">
        <v>23</v>
      </c>
      <c r="O572">
        <f>YEAR(Table1[[#This Row],[Order Date]])</f>
        <v>2025</v>
      </c>
      <c r="P572" t="str">
        <f>TEXT(Table1[[#This Row],[Order Date]],"mmmm")</f>
        <v>July</v>
      </c>
      <c r="Q572" t="str">
        <f>TEXT(Table1[[#This Row],[Order Date]],"mm")</f>
        <v>07</v>
      </c>
      <c r="R572" s="2">
        <f>Table1[[#This Row],[Profit]]/Table1[[#This Row],[Sales]]</f>
        <v>0.19161472098297413</v>
      </c>
      <c r="S572" t="str">
        <f t="shared" si="8"/>
        <v>High (21-30%)</v>
      </c>
    </row>
    <row r="573" spans="1:19" x14ac:dyDescent="0.2">
      <c r="A573" t="s">
        <v>1246</v>
      </c>
      <c r="B573" s="3" t="s">
        <v>1068</v>
      </c>
      <c r="C573" t="s">
        <v>640</v>
      </c>
      <c r="D573" t="s">
        <v>137</v>
      </c>
      <c r="E573" t="s">
        <v>242</v>
      </c>
      <c r="F573" t="s">
        <v>55</v>
      </c>
      <c r="G573" t="s">
        <v>56</v>
      </c>
      <c r="H573" t="s">
        <v>57</v>
      </c>
      <c r="I573" s="4">
        <v>735.29</v>
      </c>
      <c r="J573">
        <v>1</v>
      </c>
      <c r="K573" s="2">
        <v>0</v>
      </c>
      <c r="L573" s="4">
        <v>190.92</v>
      </c>
      <c r="M573" t="s">
        <v>87</v>
      </c>
      <c r="N573" t="s">
        <v>23</v>
      </c>
      <c r="O573">
        <f>YEAR(Table1[[#This Row],[Order Date]])</f>
        <v>2024</v>
      </c>
      <c r="P573" t="str">
        <f>TEXT(Table1[[#This Row],[Order Date]],"mmmm")</f>
        <v>July</v>
      </c>
      <c r="Q573" t="str">
        <f>TEXT(Table1[[#This Row],[Order Date]],"mm")</f>
        <v>07</v>
      </c>
      <c r="R573" s="2">
        <f>Table1[[#This Row],[Profit]]/Table1[[#This Row],[Sales]]</f>
        <v>0.25965265405486271</v>
      </c>
      <c r="S573" t="str">
        <f t="shared" si="8"/>
        <v>No Discount</v>
      </c>
    </row>
    <row r="574" spans="1:19" x14ac:dyDescent="0.2">
      <c r="A574" t="s">
        <v>1247</v>
      </c>
      <c r="B574" s="3" t="s">
        <v>1248</v>
      </c>
      <c r="C574" t="s">
        <v>153</v>
      </c>
      <c r="D574" t="s">
        <v>48</v>
      </c>
      <c r="E574" t="s">
        <v>84</v>
      </c>
      <c r="F574" t="s">
        <v>67</v>
      </c>
      <c r="G574" t="s">
        <v>85</v>
      </c>
      <c r="H574" t="s">
        <v>253</v>
      </c>
      <c r="I574" s="4">
        <v>4776.4399999999996</v>
      </c>
      <c r="J574">
        <v>4</v>
      </c>
      <c r="K574" s="2">
        <v>0.05</v>
      </c>
      <c r="L574" s="4">
        <v>758.17</v>
      </c>
      <c r="M574" t="s">
        <v>117</v>
      </c>
      <c r="N574" t="s">
        <v>32</v>
      </c>
      <c r="O574">
        <f>YEAR(Table1[[#This Row],[Order Date]])</f>
        <v>2025</v>
      </c>
      <c r="P574" t="str">
        <f>TEXT(Table1[[#This Row],[Order Date]],"mmmm")</f>
        <v>March</v>
      </c>
      <c r="Q574" t="str">
        <f>TEXT(Table1[[#This Row],[Order Date]],"mm")</f>
        <v>03</v>
      </c>
      <c r="R574" s="2">
        <f>Table1[[#This Row],[Profit]]/Table1[[#This Row],[Sales]]</f>
        <v>0.15873118891894383</v>
      </c>
      <c r="S574" t="str">
        <f t="shared" si="8"/>
        <v>Low (1-10%)</v>
      </c>
    </row>
    <row r="575" spans="1:19" x14ac:dyDescent="0.2">
      <c r="A575" t="s">
        <v>1249</v>
      </c>
      <c r="B575" s="3" t="s">
        <v>1250</v>
      </c>
      <c r="C575" t="s">
        <v>540</v>
      </c>
      <c r="D575" t="s">
        <v>137</v>
      </c>
      <c r="E575" t="s">
        <v>138</v>
      </c>
      <c r="F575" t="s">
        <v>67</v>
      </c>
      <c r="G575" t="s">
        <v>68</v>
      </c>
      <c r="H575" t="s">
        <v>382</v>
      </c>
      <c r="I575" s="4">
        <v>11398.4</v>
      </c>
      <c r="J575">
        <v>10</v>
      </c>
      <c r="K575" s="2">
        <v>0.3</v>
      </c>
      <c r="L575" s="4">
        <v>-2535.5500000000002</v>
      </c>
      <c r="M575" t="s">
        <v>195</v>
      </c>
      <c r="N575" t="s">
        <v>32</v>
      </c>
      <c r="O575">
        <f>YEAR(Table1[[#This Row],[Order Date]])</f>
        <v>2024</v>
      </c>
      <c r="P575" t="str">
        <f>TEXT(Table1[[#This Row],[Order Date]],"mmmm")</f>
        <v>July</v>
      </c>
      <c r="Q575" t="str">
        <f>TEXT(Table1[[#This Row],[Order Date]],"mm")</f>
        <v>07</v>
      </c>
      <c r="R575" s="2">
        <f>Table1[[#This Row],[Profit]]/Table1[[#This Row],[Sales]]</f>
        <v>-0.2224478874227962</v>
      </c>
      <c r="S575" t="str">
        <f t="shared" si="8"/>
        <v>High (21-30%)</v>
      </c>
    </row>
    <row r="576" spans="1:19" x14ac:dyDescent="0.2">
      <c r="A576" t="s">
        <v>1251</v>
      </c>
      <c r="B576" s="3" t="s">
        <v>1182</v>
      </c>
      <c r="C576" t="s">
        <v>1072</v>
      </c>
      <c r="D576" t="s">
        <v>137</v>
      </c>
      <c r="E576" t="s">
        <v>142</v>
      </c>
      <c r="F576" t="s">
        <v>67</v>
      </c>
      <c r="G576" t="s">
        <v>85</v>
      </c>
      <c r="H576" t="s">
        <v>86</v>
      </c>
      <c r="I576" s="4">
        <v>6016.02</v>
      </c>
      <c r="J576">
        <v>6</v>
      </c>
      <c r="K576" s="2">
        <v>0</v>
      </c>
      <c r="L576" s="4">
        <v>1184.03</v>
      </c>
      <c r="M576" t="s">
        <v>107</v>
      </c>
      <c r="N576" t="s">
        <v>76</v>
      </c>
      <c r="O576">
        <f>YEAR(Table1[[#This Row],[Order Date]])</f>
        <v>2024</v>
      </c>
      <c r="P576" t="str">
        <f>TEXT(Table1[[#This Row],[Order Date]],"mmmm")</f>
        <v>October</v>
      </c>
      <c r="Q576" t="str">
        <f>TEXT(Table1[[#This Row],[Order Date]],"mm")</f>
        <v>10</v>
      </c>
      <c r="R576" s="2">
        <f>Table1[[#This Row],[Profit]]/Table1[[#This Row],[Sales]]</f>
        <v>0.19681284304241009</v>
      </c>
      <c r="S576" t="str">
        <f t="shared" si="8"/>
        <v>No Discount</v>
      </c>
    </row>
    <row r="577" spans="1:19" x14ac:dyDescent="0.2">
      <c r="A577" t="s">
        <v>1252</v>
      </c>
      <c r="B577" s="3" t="s">
        <v>182</v>
      </c>
      <c r="C577" t="s">
        <v>128</v>
      </c>
      <c r="D577" t="s">
        <v>27</v>
      </c>
      <c r="E577" t="s">
        <v>28</v>
      </c>
      <c r="F577" t="s">
        <v>55</v>
      </c>
      <c r="G577" t="s">
        <v>56</v>
      </c>
      <c r="H577" t="s">
        <v>57</v>
      </c>
      <c r="I577" s="4">
        <v>2420.4299999999998</v>
      </c>
      <c r="J577">
        <v>3</v>
      </c>
      <c r="K577" s="2">
        <v>0.05</v>
      </c>
      <c r="L577" s="4">
        <v>273.44</v>
      </c>
      <c r="M577" t="s">
        <v>143</v>
      </c>
      <c r="N577" t="s">
        <v>23</v>
      </c>
      <c r="O577">
        <f>YEAR(Table1[[#This Row],[Order Date]])</f>
        <v>2024</v>
      </c>
      <c r="P577" t="str">
        <f>TEXT(Table1[[#This Row],[Order Date]],"mmmm")</f>
        <v>December</v>
      </c>
      <c r="Q577" t="str">
        <f>TEXT(Table1[[#This Row],[Order Date]],"mm")</f>
        <v>12</v>
      </c>
      <c r="R577" s="2">
        <f>Table1[[#This Row],[Profit]]/Table1[[#This Row],[Sales]]</f>
        <v>0.11297166206004719</v>
      </c>
      <c r="S577" t="str">
        <f t="shared" si="8"/>
        <v>Low (1-10%)</v>
      </c>
    </row>
    <row r="578" spans="1:19" x14ac:dyDescent="0.2">
      <c r="A578" t="s">
        <v>1253</v>
      </c>
      <c r="B578" s="3" t="s">
        <v>1254</v>
      </c>
      <c r="C578" t="s">
        <v>1075</v>
      </c>
      <c r="D578" t="s">
        <v>17</v>
      </c>
      <c r="E578" t="s">
        <v>80</v>
      </c>
      <c r="F578" t="s">
        <v>67</v>
      </c>
      <c r="G578" t="s">
        <v>85</v>
      </c>
      <c r="H578" t="s">
        <v>125</v>
      </c>
      <c r="I578" s="4">
        <v>1615.76</v>
      </c>
      <c r="J578">
        <v>2</v>
      </c>
      <c r="K578" s="2">
        <v>0</v>
      </c>
      <c r="L578" s="4">
        <v>711.25</v>
      </c>
      <c r="M578" t="s">
        <v>195</v>
      </c>
      <c r="N578" t="s">
        <v>39</v>
      </c>
      <c r="O578">
        <f>YEAR(Table1[[#This Row],[Order Date]])</f>
        <v>2025</v>
      </c>
      <c r="P578" t="str">
        <f>TEXT(Table1[[#This Row],[Order Date]],"mmmm")</f>
        <v>November</v>
      </c>
      <c r="Q578" t="str">
        <f>TEXT(Table1[[#This Row],[Order Date]],"mm")</f>
        <v>11</v>
      </c>
      <c r="R578" s="2">
        <f>Table1[[#This Row],[Profit]]/Table1[[#This Row],[Sales]]</f>
        <v>0.44019532603852057</v>
      </c>
      <c r="S578" t="str">
        <f t="shared" ref="S578:S641" si="9">IF(K578=0,"No Discount",
IF(K578&lt;=0.1,"Low (1-10%)",
IF(K578&lt;=0.2,"Medium (11-20%)",
IF(K578&lt;=0.3,"High (21-30%)","Very High (&gt;30%)"))))</f>
        <v>No Discount</v>
      </c>
    </row>
    <row r="579" spans="1:19" x14ac:dyDescent="0.2">
      <c r="A579" t="s">
        <v>1255</v>
      </c>
      <c r="B579" s="3" t="s">
        <v>237</v>
      </c>
      <c r="C579" t="s">
        <v>571</v>
      </c>
      <c r="D579" t="s">
        <v>48</v>
      </c>
      <c r="E579" t="s">
        <v>49</v>
      </c>
      <c r="F579" t="s">
        <v>55</v>
      </c>
      <c r="G579" t="s">
        <v>74</v>
      </c>
      <c r="H579" t="s">
        <v>272</v>
      </c>
      <c r="I579" s="4">
        <v>2312.31</v>
      </c>
      <c r="J579">
        <v>3</v>
      </c>
      <c r="K579" s="2">
        <v>0.25</v>
      </c>
      <c r="L579" s="4">
        <v>-26.53</v>
      </c>
      <c r="M579" t="s">
        <v>22</v>
      </c>
      <c r="N579" t="s">
        <v>23</v>
      </c>
      <c r="O579">
        <f>YEAR(Table1[[#This Row],[Order Date]])</f>
        <v>2025</v>
      </c>
      <c r="P579" t="str">
        <f>TEXT(Table1[[#This Row],[Order Date]],"mmmm")</f>
        <v>April</v>
      </c>
      <c r="Q579" t="str">
        <f>TEXT(Table1[[#This Row],[Order Date]],"mm")</f>
        <v>04</v>
      </c>
      <c r="R579" s="2">
        <f>Table1[[#This Row],[Profit]]/Table1[[#This Row],[Sales]]</f>
        <v>-1.1473375109738747E-2</v>
      </c>
      <c r="S579" t="str">
        <f t="shared" si="9"/>
        <v>High (21-30%)</v>
      </c>
    </row>
    <row r="580" spans="1:19" x14ac:dyDescent="0.2">
      <c r="A580" t="s">
        <v>1256</v>
      </c>
      <c r="B580" s="3" t="s">
        <v>905</v>
      </c>
      <c r="C580" t="s">
        <v>468</v>
      </c>
      <c r="D580" t="s">
        <v>27</v>
      </c>
      <c r="E580" t="s">
        <v>28</v>
      </c>
      <c r="F580" t="s">
        <v>67</v>
      </c>
      <c r="G580" t="s">
        <v>85</v>
      </c>
      <c r="H580" t="s">
        <v>253</v>
      </c>
      <c r="I580" s="4">
        <v>235.8</v>
      </c>
      <c r="J580">
        <v>9</v>
      </c>
      <c r="K580" s="2">
        <v>0.2</v>
      </c>
      <c r="L580" s="4">
        <v>-21.01</v>
      </c>
      <c r="M580" t="s">
        <v>63</v>
      </c>
      <c r="N580" t="s">
        <v>39</v>
      </c>
      <c r="O580">
        <f>YEAR(Table1[[#This Row],[Order Date]])</f>
        <v>2024</v>
      </c>
      <c r="P580" t="str">
        <f>TEXT(Table1[[#This Row],[Order Date]],"mmmm")</f>
        <v>August</v>
      </c>
      <c r="Q580" t="str">
        <f>TEXT(Table1[[#This Row],[Order Date]],"mm")</f>
        <v>08</v>
      </c>
      <c r="R580" s="2">
        <f>Table1[[#This Row],[Profit]]/Table1[[#This Row],[Sales]]</f>
        <v>-8.910093299406277E-2</v>
      </c>
      <c r="S580" t="str">
        <f t="shared" si="9"/>
        <v>Medium (11-20%)</v>
      </c>
    </row>
    <row r="581" spans="1:19" x14ac:dyDescent="0.2">
      <c r="A581" t="s">
        <v>1257</v>
      </c>
      <c r="B581" s="3" t="s">
        <v>65</v>
      </c>
      <c r="C581" t="s">
        <v>749</v>
      </c>
      <c r="D581" t="s">
        <v>137</v>
      </c>
      <c r="E581" t="s">
        <v>142</v>
      </c>
      <c r="F581" t="s">
        <v>19</v>
      </c>
      <c r="G581" t="s">
        <v>36</v>
      </c>
      <c r="H581" t="s">
        <v>37</v>
      </c>
      <c r="I581" s="4">
        <v>1544.34</v>
      </c>
      <c r="J581">
        <v>3</v>
      </c>
      <c r="K581" s="2">
        <v>0</v>
      </c>
      <c r="L581" s="4">
        <v>157.1</v>
      </c>
      <c r="M581" t="s">
        <v>195</v>
      </c>
      <c r="N581" t="s">
        <v>23</v>
      </c>
      <c r="O581">
        <f>YEAR(Table1[[#This Row],[Order Date]])</f>
        <v>2025</v>
      </c>
      <c r="P581" t="str">
        <f>TEXT(Table1[[#This Row],[Order Date]],"mmmm")</f>
        <v>September</v>
      </c>
      <c r="Q581" t="str">
        <f>TEXT(Table1[[#This Row],[Order Date]],"mm")</f>
        <v>09</v>
      </c>
      <c r="R581" s="2">
        <f>Table1[[#This Row],[Profit]]/Table1[[#This Row],[Sales]]</f>
        <v>0.10172630379320616</v>
      </c>
      <c r="S581" t="str">
        <f t="shared" si="9"/>
        <v>No Discount</v>
      </c>
    </row>
    <row r="582" spans="1:19" x14ac:dyDescent="0.2">
      <c r="A582" t="s">
        <v>1258</v>
      </c>
      <c r="B582" s="3" t="s">
        <v>610</v>
      </c>
      <c r="C582" t="s">
        <v>228</v>
      </c>
      <c r="D582" t="s">
        <v>17</v>
      </c>
      <c r="E582" t="s">
        <v>80</v>
      </c>
      <c r="F582" t="s">
        <v>67</v>
      </c>
      <c r="G582" t="s">
        <v>115</v>
      </c>
      <c r="H582" t="s">
        <v>116</v>
      </c>
      <c r="I582" s="4">
        <v>5492.3</v>
      </c>
      <c r="J582">
        <v>10</v>
      </c>
      <c r="K582" s="2">
        <v>0.15</v>
      </c>
      <c r="L582" s="4">
        <v>391.49</v>
      </c>
      <c r="M582" t="s">
        <v>107</v>
      </c>
      <c r="N582" t="s">
        <v>23</v>
      </c>
      <c r="O582">
        <f>YEAR(Table1[[#This Row],[Order Date]])</f>
        <v>2025</v>
      </c>
      <c r="P582" t="str">
        <f>TEXT(Table1[[#This Row],[Order Date]],"mmmm")</f>
        <v>January</v>
      </c>
      <c r="Q582" t="str">
        <f>TEXT(Table1[[#This Row],[Order Date]],"mm")</f>
        <v>01</v>
      </c>
      <c r="R582" s="2">
        <f>Table1[[#This Row],[Profit]]/Table1[[#This Row],[Sales]]</f>
        <v>7.1279791708391743E-2</v>
      </c>
      <c r="S582" t="str">
        <f t="shared" si="9"/>
        <v>Medium (11-20%)</v>
      </c>
    </row>
    <row r="583" spans="1:19" x14ac:dyDescent="0.2">
      <c r="A583" t="s">
        <v>1259</v>
      </c>
      <c r="B583" s="3" t="s">
        <v>665</v>
      </c>
      <c r="C583" t="s">
        <v>172</v>
      </c>
      <c r="D583" t="s">
        <v>17</v>
      </c>
      <c r="E583" t="s">
        <v>80</v>
      </c>
      <c r="F583" t="s">
        <v>67</v>
      </c>
      <c r="G583" t="s">
        <v>85</v>
      </c>
      <c r="H583" t="s">
        <v>125</v>
      </c>
      <c r="I583" s="4">
        <v>1119.06</v>
      </c>
      <c r="J583">
        <v>6</v>
      </c>
      <c r="K583" s="2">
        <v>0</v>
      </c>
      <c r="L583" s="4">
        <v>190.93</v>
      </c>
      <c r="M583" t="s">
        <v>38</v>
      </c>
      <c r="N583" t="s">
        <v>39</v>
      </c>
      <c r="O583">
        <f>YEAR(Table1[[#This Row],[Order Date]])</f>
        <v>2024</v>
      </c>
      <c r="P583" t="str">
        <f>TEXT(Table1[[#This Row],[Order Date]],"mmmm")</f>
        <v>July</v>
      </c>
      <c r="Q583" t="str">
        <f>TEXT(Table1[[#This Row],[Order Date]],"mm")</f>
        <v>07</v>
      </c>
      <c r="R583" s="2">
        <f>Table1[[#This Row],[Profit]]/Table1[[#This Row],[Sales]]</f>
        <v>0.17061641020141907</v>
      </c>
      <c r="S583" t="str">
        <f t="shared" si="9"/>
        <v>No Discount</v>
      </c>
    </row>
    <row r="584" spans="1:19" x14ac:dyDescent="0.2">
      <c r="A584" t="s">
        <v>1260</v>
      </c>
      <c r="B584" s="3" t="s">
        <v>1261</v>
      </c>
      <c r="C584" t="s">
        <v>340</v>
      </c>
      <c r="D584" t="s">
        <v>48</v>
      </c>
      <c r="E584" t="s">
        <v>84</v>
      </c>
      <c r="F584" t="s">
        <v>67</v>
      </c>
      <c r="G584" t="s">
        <v>115</v>
      </c>
      <c r="H584" t="s">
        <v>116</v>
      </c>
      <c r="I584" s="4">
        <v>177.39</v>
      </c>
      <c r="J584">
        <v>3</v>
      </c>
      <c r="K584" s="2">
        <v>0.15</v>
      </c>
      <c r="L584" s="4">
        <v>20.99</v>
      </c>
      <c r="M584" t="s">
        <v>87</v>
      </c>
      <c r="N584" t="s">
        <v>23</v>
      </c>
      <c r="O584">
        <f>YEAR(Table1[[#This Row],[Order Date]])</f>
        <v>2024</v>
      </c>
      <c r="P584" t="str">
        <f>TEXT(Table1[[#This Row],[Order Date]],"mmmm")</f>
        <v>February</v>
      </c>
      <c r="Q584" t="str">
        <f>TEXT(Table1[[#This Row],[Order Date]],"mm")</f>
        <v>02</v>
      </c>
      <c r="R584" s="2">
        <f>Table1[[#This Row],[Profit]]/Table1[[#This Row],[Sales]]</f>
        <v>0.11832685044252776</v>
      </c>
      <c r="S584" t="str">
        <f t="shared" si="9"/>
        <v>Medium (11-20%)</v>
      </c>
    </row>
    <row r="585" spans="1:19" x14ac:dyDescent="0.2">
      <c r="A585" t="s">
        <v>1262</v>
      </c>
      <c r="B585" s="3" t="s">
        <v>905</v>
      </c>
      <c r="C585" t="s">
        <v>625</v>
      </c>
      <c r="D585" t="s">
        <v>48</v>
      </c>
      <c r="E585" t="s">
        <v>110</v>
      </c>
      <c r="F585" t="s">
        <v>55</v>
      </c>
      <c r="G585" t="s">
        <v>74</v>
      </c>
      <c r="H585" t="s">
        <v>133</v>
      </c>
      <c r="I585" s="4">
        <v>516.47</v>
      </c>
      <c r="J585">
        <v>1</v>
      </c>
      <c r="K585" s="2">
        <v>0</v>
      </c>
      <c r="L585" s="4">
        <v>35.159999999999997</v>
      </c>
      <c r="M585" t="s">
        <v>22</v>
      </c>
      <c r="N585" t="s">
        <v>23</v>
      </c>
      <c r="O585">
        <f>YEAR(Table1[[#This Row],[Order Date]])</f>
        <v>2024</v>
      </c>
      <c r="P585" t="str">
        <f>TEXT(Table1[[#This Row],[Order Date]],"mmmm")</f>
        <v>August</v>
      </c>
      <c r="Q585" t="str">
        <f>TEXT(Table1[[#This Row],[Order Date]],"mm")</f>
        <v>08</v>
      </c>
      <c r="R585" s="2">
        <f>Table1[[#This Row],[Profit]]/Table1[[#This Row],[Sales]]</f>
        <v>6.8077526284198497E-2</v>
      </c>
      <c r="S585" t="str">
        <f t="shared" si="9"/>
        <v>No Discount</v>
      </c>
    </row>
    <row r="586" spans="1:19" x14ac:dyDescent="0.2">
      <c r="A586" t="s">
        <v>1263</v>
      </c>
      <c r="B586" s="3" t="s">
        <v>326</v>
      </c>
      <c r="C586" t="s">
        <v>281</v>
      </c>
      <c r="D586" t="s">
        <v>137</v>
      </c>
      <c r="E586" t="s">
        <v>142</v>
      </c>
      <c r="F586" t="s">
        <v>19</v>
      </c>
      <c r="G586" t="s">
        <v>20</v>
      </c>
      <c r="H586" t="s">
        <v>21</v>
      </c>
      <c r="I586" s="4">
        <v>3250.38</v>
      </c>
      <c r="J586">
        <v>7</v>
      </c>
      <c r="K586" s="2">
        <v>0.05</v>
      </c>
      <c r="L586" s="4">
        <v>989.87</v>
      </c>
      <c r="M586" t="s">
        <v>143</v>
      </c>
      <c r="N586" t="s">
        <v>23</v>
      </c>
      <c r="O586">
        <f>YEAR(Table1[[#This Row],[Order Date]])</f>
        <v>2024</v>
      </c>
      <c r="P586" t="str">
        <f>TEXT(Table1[[#This Row],[Order Date]],"mmmm")</f>
        <v>May</v>
      </c>
      <c r="Q586" t="str">
        <f>TEXT(Table1[[#This Row],[Order Date]],"mm")</f>
        <v>05</v>
      </c>
      <c r="R586" s="2">
        <f>Table1[[#This Row],[Profit]]/Table1[[#This Row],[Sales]]</f>
        <v>0.30453977688762546</v>
      </c>
      <c r="S586" t="str">
        <f t="shared" si="9"/>
        <v>Low (1-10%)</v>
      </c>
    </row>
    <row r="587" spans="1:19" x14ac:dyDescent="0.2">
      <c r="A587" t="s">
        <v>1264</v>
      </c>
      <c r="B587" s="3" t="s">
        <v>1084</v>
      </c>
      <c r="C587" t="s">
        <v>666</v>
      </c>
      <c r="D587" t="s">
        <v>48</v>
      </c>
      <c r="E587" t="s">
        <v>110</v>
      </c>
      <c r="F587" t="s">
        <v>19</v>
      </c>
      <c r="G587" t="s">
        <v>36</v>
      </c>
      <c r="H587" t="s">
        <v>222</v>
      </c>
      <c r="I587" s="4">
        <v>1838.61</v>
      </c>
      <c r="J587">
        <v>9</v>
      </c>
      <c r="K587" s="2">
        <v>0.05</v>
      </c>
      <c r="L587" s="4">
        <v>609.54999999999995</v>
      </c>
      <c r="M587" t="s">
        <v>63</v>
      </c>
      <c r="N587" t="s">
        <v>76</v>
      </c>
      <c r="O587">
        <f>YEAR(Table1[[#This Row],[Order Date]])</f>
        <v>2025</v>
      </c>
      <c r="P587" t="str">
        <f>TEXT(Table1[[#This Row],[Order Date]],"mmmm")</f>
        <v>August</v>
      </c>
      <c r="Q587" t="str">
        <f>TEXT(Table1[[#This Row],[Order Date]],"mm")</f>
        <v>08</v>
      </c>
      <c r="R587" s="2">
        <f>Table1[[#This Row],[Profit]]/Table1[[#This Row],[Sales]]</f>
        <v>0.33152762140965186</v>
      </c>
      <c r="S587" t="str">
        <f t="shared" si="9"/>
        <v>Low (1-10%)</v>
      </c>
    </row>
    <row r="588" spans="1:19" x14ac:dyDescent="0.2">
      <c r="A588" t="s">
        <v>1265</v>
      </c>
      <c r="B588" s="3" t="s">
        <v>1266</v>
      </c>
      <c r="C588" t="s">
        <v>375</v>
      </c>
      <c r="D588" t="s">
        <v>48</v>
      </c>
      <c r="E588" t="s">
        <v>84</v>
      </c>
      <c r="F588" t="s">
        <v>55</v>
      </c>
      <c r="G588" t="s">
        <v>98</v>
      </c>
      <c r="H588" t="s">
        <v>150</v>
      </c>
      <c r="I588" s="4">
        <v>4197.97</v>
      </c>
      <c r="J588">
        <v>7</v>
      </c>
      <c r="K588" s="2">
        <v>0.1</v>
      </c>
      <c r="L588" s="4">
        <v>-159.44999999999999</v>
      </c>
      <c r="M588" t="s">
        <v>31</v>
      </c>
      <c r="N588" t="s">
        <v>76</v>
      </c>
      <c r="O588">
        <f>YEAR(Table1[[#This Row],[Order Date]])</f>
        <v>2025</v>
      </c>
      <c r="P588" t="str">
        <f>TEXT(Table1[[#This Row],[Order Date]],"mmmm")</f>
        <v>May</v>
      </c>
      <c r="Q588" t="str">
        <f>TEXT(Table1[[#This Row],[Order Date]],"mm")</f>
        <v>05</v>
      </c>
      <c r="R588" s="2">
        <f>Table1[[#This Row],[Profit]]/Table1[[#This Row],[Sales]]</f>
        <v>-3.7982643992215279E-2</v>
      </c>
      <c r="S588" t="str">
        <f t="shared" si="9"/>
        <v>Low (1-10%)</v>
      </c>
    </row>
    <row r="589" spans="1:19" x14ac:dyDescent="0.2">
      <c r="A589" t="s">
        <v>1267</v>
      </c>
      <c r="B589" s="3" t="s">
        <v>1268</v>
      </c>
      <c r="C589" t="s">
        <v>630</v>
      </c>
      <c r="D589" t="s">
        <v>137</v>
      </c>
      <c r="E589" t="s">
        <v>138</v>
      </c>
      <c r="F589" t="s">
        <v>67</v>
      </c>
      <c r="G589" t="s">
        <v>68</v>
      </c>
      <c r="H589" t="s">
        <v>69</v>
      </c>
      <c r="I589" s="4">
        <v>444.37</v>
      </c>
      <c r="J589">
        <v>1</v>
      </c>
      <c r="K589" s="2">
        <v>0.25</v>
      </c>
      <c r="L589" s="4">
        <v>13.42</v>
      </c>
      <c r="M589" t="s">
        <v>107</v>
      </c>
      <c r="N589" t="s">
        <v>39</v>
      </c>
      <c r="O589">
        <f>YEAR(Table1[[#This Row],[Order Date]])</f>
        <v>2024</v>
      </c>
      <c r="P589" t="str">
        <f>TEXT(Table1[[#This Row],[Order Date]],"mmmm")</f>
        <v>August</v>
      </c>
      <c r="Q589" t="str">
        <f>TEXT(Table1[[#This Row],[Order Date]],"mm")</f>
        <v>08</v>
      </c>
      <c r="R589" s="2">
        <f>Table1[[#This Row],[Profit]]/Table1[[#This Row],[Sales]]</f>
        <v>3.0200058509800391E-2</v>
      </c>
      <c r="S589" t="str">
        <f t="shared" si="9"/>
        <v>High (21-30%)</v>
      </c>
    </row>
    <row r="590" spans="1:19" x14ac:dyDescent="0.2">
      <c r="A590" t="s">
        <v>1269</v>
      </c>
      <c r="B590" s="3" t="s">
        <v>1270</v>
      </c>
      <c r="C590" t="s">
        <v>132</v>
      </c>
      <c r="D590" t="s">
        <v>137</v>
      </c>
      <c r="E590" t="s">
        <v>138</v>
      </c>
      <c r="F590" t="s">
        <v>55</v>
      </c>
      <c r="G590" t="s">
        <v>98</v>
      </c>
      <c r="H590" t="s">
        <v>150</v>
      </c>
      <c r="I590" s="4">
        <v>2002.5</v>
      </c>
      <c r="J590">
        <v>5</v>
      </c>
      <c r="K590" s="2">
        <v>0.1</v>
      </c>
      <c r="L590" s="4">
        <v>166.99</v>
      </c>
      <c r="M590" t="s">
        <v>22</v>
      </c>
      <c r="N590" t="s">
        <v>32</v>
      </c>
      <c r="O590">
        <f>YEAR(Table1[[#This Row],[Order Date]])</f>
        <v>2024</v>
      </c>
      <c r="P590" t="str">
        <f>TEXT(Table1[[#This Row],[Order Date]],"mmmm")</f>
        <v>March</v>
      </c>
      <c r="Q590" t="str">
        <f>TEXT(Table1[[#This Row],[Order Date]],"mm")</f>
        <v>03</v>
      </c>
      <c r="R590" s="2">
        <f>Table1[[#This Row],[Profit]]/Table1[[#This Row],[Sales]]</f>
        <v>8.3390761548064921E-2</v>
      </c>
      <c r="S590" t="str">
        <f t="shared" si="9"/>
        <v>Low (1-10%)</v>
      </c>
    </row>
    <row r="591" spans="1:19" x14ac:dyDescent="0.2">
      <c r="A591" t="s">
        <v>1271</v>
      </c>
      <c r="B591" s="3" t="s">
        <v>1272</v>
      </c>
      <c r="C591" t="s">
        <v>818</v>
      </c>
      <c r="D591" t="s">
        <v>48</v>
      </c>
      <c r="E591" t="s">
        <v>84</v>
      </c>
      <c r="F591" t="s">
        <v>19</v>
      </c>
      <c r="G591" t="s">
        <v>36</v>
      </c>
      <c r="H591" t="s">
        <v>222</v>
      </c>
      <c r="I591" s="4">
        <v>638.76</v>
      </c>
      <c r="J591">
        <v>4</v>
      </c>
      <c r="K591" s="2">
        <v>0.3</v>
      </c>
      <c r="L591" s="4">
        <v>-115.34</v>
      </c>
      <c r="M591" t="s">
        <v>22</v>
      </c>
      <c r="N591" t="s">
        <v>32</v>
      </c>
      <c r="O591">
        <f>YEAR(Table1[[#This Row],[Order Date]])</f>
        <v>2024</v>
      </c>
      <c r="P591" t="str">
        <f>TEXT(Table1[[#This Row],[Order Date]],"mmmm")</f>
        <v>July</v>
      </c>
      <c r="Q591" t="str">
        <f>TEXT(Table1[[#This Row],[Order Date]],"mm")</f>
        <v>07</v>
      </c>
      <c r="R591" s="2">
        <f>Table1[[#This Row],[Profit]]/Table1[[#This Row],[Sales]]</f>
        <v>-0.18056860166572736</v>
      </c>
      <c r="S591" t="str">
        <f t="shared" si="9"/>
        <v>High (21-30%)</v>
      </c>
    </row>
    <row r="592" spans="1:19" x14ac:dyDescent="0.2">
      <c r="A592" t="s">
        <v>1273</v>
      </c>
      <c r="B592" s="3" t="s">
        <v>1274</v>
      </c>
      <c r="C592" t="s">
        <v>455</v>
      </c>
      <c r="D592" t="s">
        <v>27</v>
      </c>
      <c r="E592" t="s">
        <v>124</v>
      </c>
      <c r="F592" t="s">
        <v>55</v>
      </c>
      <c r="G592" t="s">
        <v>74</v>
      </c>
      <c r="H592" t="s">
        <v>75</v>
      </c>
      <c r="I592" s="4">
        <v>5114.41</v>
      </c>
      <c r="J592">
        <v>7</v>
      </c>
      <c r="K592" s="2">
        <v>0.15</v>
      </c>
      <c r="L592" s="4">
        <v>567.77</v>
      </c>
      <c r="M592" t="s">
        <v>63</v>
      </c>
      <c r="N592" t="s">
        <v>76</v>
      </c>
      <c r="O592">
        <f>YEAR(Table1[[#This Row],[Order Date]])</f>
        <v>2024</v>
      </c>
      <c r="P592" t="str">
        <f>TEXT(Table1[[#This Row],[Order Date]],"mmmm")</f>
        <v>August</v>
      </c>
      <c r="Q592" t="str">
        <f>TEXT(Table1[[#This Row],[Order Date]],"mm")</f>
        <v>08</v>
      </c>
      <c r="R592" s="2">
        <f>Table1[[#This Row],[Profit]]/Table1[[#This Row],[Sales]]</f>
        <v>0.11101378262595295</v>
      </c>
      <c r="S592" t="str">
        <f t="shared" si="9"/>
        <v>Medium (11-20%)</v>
      </c>
    </row>
    <row r="593" spans="1:19" x14ac:dyDescent="0.2">
      <c r="A593" t="s">
        <v>1275</v>
      </c>
      <c r="B593" s="3" t="s">
        <v>1204</v>
      </c>
      <c r="C593" t="s">
        <v>218</v>
      </c>
      <c r="D593" t="s">
        <v>48</v>
      </c>
      <c r="E593" t="s">
        <v>110</v>
      </c>
      <c r="F593" t="s">
        <v>19</v>
      </c>
      <c r="G593" t="s">
        <v>29</v>
      </c>
      <c r="H593" t="s">
        <v>30</v>
      </c>
      <c r="I593" s="4">
        <v>1392.8</v>
      </c>
      <c r="J593">
        <v>2</v>
      </c>
      <c r="K593" s="2">
        <v>0.2</v>
      </c>
      <c r="L593" s="4">
        <v>306.72000000000003</v>
      </c>
      <c r="M593" t="s">
        <v>44</v>
      </c>
      <c r="N593" t="s">
        <v>76</v>
      </c>
      <c r="O593">
        <f>YEAR(Table1[[#This Row],[Order Date]])</f>
        <v>2024</v>
      </c>
      <c r="P593" t="str">
        <f>TEXT(Table1[[#This Row],[Order Date]],"mmmm")</f>
        <v>September</v>
      </c>
      <c r="Q593" t="str">
        <f>TEXT(Table1[[#This Row],[Order Date]],"mm")</f>
        <v>09</v>
      </c>
      <c r="R593" s="2">
        <f>Table1[[#This Row],[Profit]]/Table1[[#This Row],[Sales]]</f>
        <v>0.22021826536473293</v>
      </c>
      <c r="S593" t="str">
        <f t="shared" si="9"/>
        <v>Medium (11-20%)</v>
      </c>
    </row>
    <row r="594" spans="1:19" x14ac:dyDescent="0.2">
      <c r="A594" t="s">
        <v>1276</v>
      </c>
      <c r="B594" s="3" t="s">
        <v>1179</v>
      </c>
      <c r="C594" t="s">
        <v>335</v>
      </c>
      <c r="D594" t="s">
        <v>137</v>
      </c>
      <c r="E594" t="s">
        <v>142</v>
      </c>
      <c r="F594" t="s">
        <v>67</v>
      </c>
      <c r="G594" t="s">
        <v>115</v>
      </c>
      <c r="H594" t="s">
        <v>116</v>
      </c>
      <c r="I594" s="4">
        <v>4124.16</v>
      </c>
      <c r="J594">
        <v>9</v>
      </c>
      <c r="K594" s="2">
        <v>0.15</v>
      </c>
      <c r="L594" s="4">
        <v>509.96</v>
      </c>
      <c r="M594" t="s">
        <v>107</v>
      </c>
      <c r="N594" t="s">
        <v>39</v>
      </c>
      <c r="O594">
        <f>YEAR(Table1[[#This Row],[Order Date]])</f>
        <v>2024</v>
      </c>
      <c r="P594" t="str">
        <f>TEXT(Table1[[#This Row],[Order Date]],"mmmm")</f>
        <v>September</v>
      </c>
      <c r="Q594" t="str">
        <f>TEXT(Table1[[#This Row],[Order Date]],"mm")</f>
        <v>09</v>
      </c>
      <c r="R594" s="2">
        <f>Table1[[#This Row],[Profit]]/Table1[[#This Row],[Sales]]</f>
        <v>0.12365184667908131</v>
      </c>
      <c r="S594" t="str">
        <f t="shared" si="9"/>
        <v>Medium (11-20%)</v>
      </c>
    </row>
    <row r="595" spans="1:19" x14ac:dyDescent="0.2">
      <c r="A595" t="s">
        <v>1277</v>
      </c>
      <c r="B595" s="3" t="s">
        <v>1147</v>
      </c>
      <c r="C595" t="s">
        <v>434</v>
      </c>
      <c r="D595" t="s">
        <v>27</v>
      </c>
      <c r="E595" t="s">
        <v>124</v>
      </c>
      <c r="F595" t="s">
        <v>19</v>
      </c>
      <c r="G595" t="s">
        <v>20</v>
      </c>
      <c r="H595" t="s">
        <v>21</v>
      </c>
      <c r="I595" s="4">
        <v>2343.5300000000002</v>
      </c>
      <c r="J595">
        <v>7</v>
      </c>
      <c r="K595" s="2">
        <v>0.25</v>
      </c>
      <c r="L595" s="4">
        <v>-358.01</v>
      </c>
      <c r="M595" t="s">
        <v>63</v>
      </c>
      <c r="N595" t="s">
        <v>23</v>
      </c>
      <c r="O595">
        <f>YEAR(Table1[[#This Row],[Order Date]])</f>
        <v>2025</v>
      </c>
      <c r="P595" t="str">
        <f>TEXT(Table1[[#This Row],[Order Date]],"mmmm")</f>
        <v>February</v>
      </c>
      <c r="Q595" t="str">
        <f>TEXT(Table1[[#This Row],[Order Date]],"mm")</f>
        <v>02</v>
      </c>
      <c r="R595" s="2">
        <f>Table1[[#This Row],[Profit]]/Table1[[#This Row],[Sales]]</f>
        <v>-0.15276527290028288</v>
      </c>
      <c r="S595" t="str">
        <f t="shared" si="9"/>
        <v>High (21-30%)</v>
      </c>
    </row>
    <row r="596" spans="1:19" x14ac:dyDescent="0.2">
      <c r="A596" t="s">
        <v>1278</v>
      </c>
      <c r="B596" s="3" t="s">
        <v>1174</v>
      </c>
      <c r="C596" t="s">
        <v>278</v>
      </c>
      <c r="D596" t="s">
        <v>27</v>
      </c>
      <c r="E596" t="s">
        <v>28</v>
      </c>
      <c r="F596" t="s">
        <v>19</v>
      </c>
      <c r="G596" t="s">
        <v>36</v>
      </c>
      <c r="H596" t="s">
        <v>111</v>
      </c>
      <c r="I596" s="4">
        <v>7065.84</v>
      </c>
      <c r="J596">
        <v>8</v>
      </c>
      <c r="K596" s="2">
        <v>0.05</v>
      </c>
      <c r="L596" s="4">
        <v>112.31</v>
      </c>
      <c r="M596" t="s">
        <v>195</v>
      </c>
      <c r="N596" t="s">
        <v>39</v>
      </c>
      <c r="O596">
        <f>YEAR(Table1[[#This Row],[Order Date]])</f>
        <v>2024</v>
      </c>
      <c r="P596" t="str">
        <f>TEXT(Table1[[#This Row],[Order Date]],"mmmm")</f>
        <v>January</v>
      </c>
      <c r="Q596" t="str">
        <f>TEXT(Table1[[#This Row],[Order Date]],"mm")</f>
        <v>01</v>
      </c>
      <c r="R596" s="2">
        <f>Table1[[#This Row],[Profit]]/Table1[[#This Row],[Sales]]</f>
        <v>1.5894783918118723E-2</v>
      </c>
      <c r="S596" t="str">
        <f t="shared" si="9"/>
        <v>Low (1-10%)</v>
      </c>
    </row>
    <row r="597" spans="1:19" x14ac:dyDescent="0.2">
      <c r="A597" t="s">
        <v>1279</v>
      </c>
      <c r="B597" s="3" t="s">
        <v>1280</v>
      </c>
      <c r="C597" t="s">
        <v>625</v>
      </c>
      <c r="D597" t="s">
        <v>137</v>
      </c>
      <c r="E597" t="s">
        <v>142</v>
      </c>
      <c r="F597" t="s">
        <v>67</v>
      </c>
      <c r="G597" t="s">
        <v>68</v>
      </c>
      <c r="H597" t="s">
        <v>69</v>
      </c>
      <c r="I597" s="4">
        <v>2349.85</v>
      </c>
      <c r="J597">
        <v>5</v>
      </c>
      <c r="K597" s="2">
        <v>0.1</v>
      </c>
      <c r="L597" s="4">
        <v>767</v>
      </c>
      <c r="M597" t="s">
        <v>22</v>
      </c>
      <c r="N597" t="s">
        <v>23</v>
      </c>
      <c r="O597">
        <f>YEAR(Table1[[#This Row],[Order Date]])</f>
        <v>2025</v>
      </c>
      <c r="P597" t="str">
        <f>TEXT(Table1[[#This Row],[Order Date]],"mmmm")</f>
        <v>May</v>
      </c>
      <c r="Q597" t="str">
        <f>TEXT(Table1[[#This Row],[Order Date]],"mm")</f>
        <v>05</v>
      </c>
      <c r="R597" s="2">
        <f>Table1[[#This Row],[Profit]]/Table1[[#This Row],[Sales]]</f>
        <v>0.32640381300934102</v>
      </c>
      <c r="S597" t="str">
        <f t="shared" si="9"/>
        <v>Low (1-10%)</v>
      </c>
    </row>
    <row r="598" spans="1:19" x14ac:dyDescent="0.2">
      <c r="A598" t="s">
        <v>1281</v>
      </c>
      <c r="B598" s="3" t="s">
        <v>1282</v>
      </c>
      <c r="C598" t="s">
        <v>79</v>
      </c>
      <c r="D598" t="s">
        <v>27</v>
      </c>
      <c r="E598" t="s">
        <v>43</v>
      </c>
      <c r="F598" t="s">
        <v>19</v>
      </c>
      <c r="G598" t="s">
        <v>20</v>
      </c>
      <c r="H598" t="s">
        <v>347</v>
      </c>
      <c r="I598" s="4">
        <v>2595.65</v>
      </c>
      <c r="J598">
        <v>5</v>
      </c>
      <c r="K598" s="2">
        <v>0.1</v>
      </c>
      <c r="L598" s="4">
        <v>-9.84</v>
      </c>
      <c r="M598" t="s">
        <v>22</v>
      </c>
      <c r="N598" t="s">
        <v>39</v>
      </c>
      <c r="O598">
        <f>YEAR(Table1[[#This Row],[Order Date]])</f>
        <v>2024</v>
      </c>
      <c r="P598" t="str">
        <f>TEXT(Table1[[#This Row],[Order Date]],"mmmm")</f>
        <v>January</v>
      </c>
      <c r="Q598" t="str">
        <f>TEXT(Table1[[#This Row],[Order Date]],"mm")</f>
        <v>01</v>
      </c>
      <c r="R598" s="2">
        <f>Table1[[#This Row],[Profit]]/Table1[[#This Row],[Sales]]</f>
        <v>-3.790957948876004E-3</v>
      </c>
      <c r="S598" t="str">
        <f t="shared" si="9"/>
        <v>Low (1-10%)</v>
      </c>
    </row>
    <row r="599" spans="1:19" x14ac:dyDescent="0.2">
      <c r="A599" t="s">
        <v>1283</v>
      </c>
      <c r="B599" s="3" t="s">
        <v>600</v>
      </c>
      <c r="C599" t="s">
        <v>60</v>
      </c>
      <c r="D599" t="s">
        <v>17</v>
      </c>
      <c r="E599" t="s">
        <v>18</v>
      </c>
      <c r="F599" t="s">
        <v>67</v>
      </c>
      <c r="G599" t="s">
        <v>115</v>
      </c>
      <c r="H599" t="s">
        <v>116</v>
      </c>
      <c r="I599" s="4">
        <v>670.55</v>
      </c>
      <c r="J599">
        <v>5</v>
      </c>
      <c r="K599" s="2">
        <v>0</v>
      </c>
      <c r="L599" s="4">
        <v>239.03</v>
      </c>
      <c r="M599" t="s">
        <v>195</v>
      </c>
      <c r="N599" t="s">
        <v>23</v>
      </c>
      <c r="O599">
        <f>YEAR(Table1[[#This Row],[Order Date]])</f>
        <v>2025</v>
      </c>
      <c r="P599" t="str">
        <f>TEXT(Table1[[#This Row],[Order Date]],"mmmm")</f>
        <v>October</v>
      </c>
      <c r="Q599" t="str">
        <f>TEXT(Table1[[#This Row],[Order Date]],"mm")</f>
        <v>10</v>
      </c>
      <c r="R599" s="2">
        <f>Table1[[#This Row],[Profit]]/Table1[[#This Row],[Sales]]</f>
        <v>0.35646857057639253</v>
      </c>
      <c r="S599" t="str">
        <f t="shared" si="9"/>
        <v>No Discount</v>
      </c>
    </row>
    <row r="600" spans="1:19" x14ac:dyDescent="0.2">
      <c r="A600" t="s">
        <v>1284</v>
      </c>
      <c r="B600" s="3" t="s">
        <v>372</v>
      </c>
      <c r="C600" t="s">
        <v>163</v>
      </c>
      <c r="D600" t="s">
        <v>17</v>
      </c>
      <c r="E600" t="s">
        <v>54</v>
      </c>
      <c r="F600" t="s">
        <v>67</v>
      </c>
      <c r="G600" t="s">
        <v>68</v>
      </c>
      <c r="H600" t="s">
        <v>382</v>
      </c>
      <c r="I600" s="4">
        <v>1326.36</v>
      </c>
      <c r="J600">
        <v>7</v>
      </c>
      <c r="K600" s="2">
        <v>0.3</v>
      </c>
      <c r="L600" s="4">
        <v>-10.119999999999999</v>
      </c>
      <c r="M600" t="s">
        <v>44</v>
      </c>
      <c r="N600" t="s">
        <v>39</v>
      </c>
      <c r="O600">
        <f>YEAR(Table1[[#This Row],[Order Date]])</f>
        <v>2024</v>
      </c>
      <c r="P600" t="str">
        <f>TEXT(Table1[[#This Row],[Order Date]],"mmmm")</f>
        <v>July</v>
      </c>
      <c r="Q600" t="str">
        <f>TEXT(Table1[[#This Row],[Order Date]],"mm")</f>
        <v>07</v>
      </c>
      <c r="R600" s="2">
        <f>Table1[[#This Row],[Profit]]/Table1[[#This Row],[Sales]]</f>
        <v>-7.6299044000120633E-3</v>
      </c>
      <c r="S600" t="str">
        <f t="shared" si="9"/>
        <v>High (21-30%)</v>
      </c>
    </row>
    <row r="601" spans="1:19" x14ac:dyDescent="0.2">
      <c r="A601" t="s">
        <v>1285</v>
      </c>
      <c r="B601" s="3" t="s">
        <v>700</v>
      </c>
      <c r="C601" t="s">
        <v>583</v>
      </c>
      <c r="D601" t="s">
        <v>48</v>
      </c>
      <c r="E601" t="s">
        <v>84</v>
      </c>
      <c r="F601" t="s">
        <v>67</v>
      </c>
      <c r="G601" t="s">
        <v>115</v>
      </c>
      <c r="H601" t="s">
        <v>212</v>
      </c>
      <c r="I601" s="4">
        <v>7943.11</v>
      </c>
      <c r="J601">
        <v>7</v>
      </c>
      <c r="K601" s="2">
        <v>0.25</v>
      </c>
      <c r="L601" s="4">
        <v>-1363.76</v>
      </c>
      <c r="M601" t="s">
        <v>44</v>
      </c>
      <c r="N601" t="s">
        <v>32</v>
      </c>
      <c r="O601">
        <f>YEAR(Table1[[#This Row],[Order Date]])</f>
        <v>2024</v>
      </c>
      <c r="P601" t="str">
        <f>TEXT(Table1[[#This Row],[Order Date]],"mmmm")</f>
        <v>January</v>
      </c>
      <c r="Q601" t="str">
        <f>TEXT(Table1[[#This Row],[Order Date]],"mm")</f>
        <v>01</v>
      </c>
      <c r="R601" s="2">
        <f>Table1[[#This Row],[Profit]]/Table1[[#This Row],[Sales]]</f>
        <v>-0.17169093717699996</v>
      </c>
      <c r="S601" t="str">
        <f t="shared" si="9"/>
        <v>High (21-30%)</v>
      </c>
    </row>
    <row r="602" spans="1:19" x14ac:dyDescent="0.2">
      <c r="A602" t="s">
        <v>1286</v>
      </c>
      <c r="B602" s="3" t="s">
        <v>506</v>
      </c>
      <c r="C602" t="s">
        <v>375</v>
      </c>
      <c r="D602" t="s">
        <v>137</v>
      </c>
      <c r="E602" t="s">
        <v>138</v>
      </c>
      <c r="F602" t="s">
        <v>55</v>
      </c>
      <c r="G602" t="s">
        <v>74</v>
      </c>
      <c r="H602" t="s">
        <v>272</v>
      </c>
      <c r="I602" s="4">
        <v>5981.34</v>
      </c>
      <c r="J602">
        <v>6</v>
      </c>
      <c r="K602" s="2">
        <v>0.2</v>
      </c>
      <c r="L602" s="4">
        <v>467.52</v>
      </c>
      <c r="M602" t="s">
        <v>31</v>
      </c>
      <c r="N602" t="s">
        <v>23</v>
      </c>
      <c r="O602">
        <f>YEAR(Table1[[#This Row],[Order Date]])</f>
        <v>2024</v>
      </c>
      <c r="P602" t="str">
        <f>TEXT(Table1[[#This Row],[Order Date]],"mmmm")</f>
        <v>March</v>
      </c>
      <c r="Q602" t="str">
        <f>TEXT(Table1[[#This Row],[Order Date]],"mm")</f>
        <v>03</v>
      </c>
      <c r="R602" s="2">
        <f>Table1[[#This Row],[Profit]]/Table1[[#This Row],[Sales]]</f>
        <v>7.8163087201195719E-2</v>
      </c>
      <c r="S602" t="str">
        <f t="shared" si="9"/>
        <v>Medium (11-20%)</v>
      </c>
    </row>
    <row r="603" spans="1:19" x14ac:dyDescent="0.2">
      <c r="A603" t="s">
        <v>1287</v>
      </c>
      <c r="B603" s="3" t="s">
        <v>1174</v>
      </c>
      <c r="C603" t="s">
        <v>292</v>
      </c>
      <c r="D603" t="s">
        <v>48</v>
      </c>
      <c r="E603" t="s">
        <v>49</v>
      </c>
      <c r="F603" t="s">
        <v>67</v>
      </c>
      <c r="G603" t="s">
        <v>85</v>
      </c>
      <c r="H603" t="s">
        <v>125</v>
      </c>
      <c r="I603" s="4">
        <v>209.72</v>
      </c>
      <c r="J603">
        <v>2</v>
      </c>
      <c r="K603" s="2">
        <v>0.05</v>
      </c>
      <c r="L603" s="4">
        <v>4.6900000000000004</v>
      </c>
      <c r="M603" t="s">
        <v>63</v>
      </c>
      <c r="N603" t="s">
        <v>23</v>
      </c>
      <c r="O603">
        <f>YEAR(Table1[[#This Row],[Order Date]])</f>
        <v>2024</v>
      </c>
      <c r="P603" t="str">
        <f>TEXT(Table1[[#This Row],[Order Date]],"mmmm")</f>
        <v>January</v>
      </c>
      <c r="Q603" t="str">
        <f>TEXT(Table1[[#This Row],[Order Date]],"mm")</f>
        <v>01</v>
      </c>
      <c r="R603" s="2">
        <f>Table1[[#This Row],[Profit]]/Table1[[#This Row],[Sales]]</f>
        <v>2.2363150867823766E-2</v>
      </c>
      <c r="S603" t="str">
        <f t="shared" si="9"/>
        <v>Low (1-10%)</v>
      </c>
    </row>
    <row r="604" spans="1:19" x14ac:dyDescent="0.2">
      <c r="A604" t="s">
        <v>1288</v>
      </c>
      <c r="B604" s="3" t="s">
        <v>234</v>
      </c>
      <c r="C604" t="s">
        <v>672</v>
      </c>
      <c r="D604" t="s">
        <v>48</v>
      </c>
      <c r="E604" t="s">
        <v>84</v>
      </c>
      <c r="F604" t="s">
        <v>55</v>
      </c>
      <c r="G604" t="s">
        <v>98</v>
      </c>
      <c r="H604" t="s">
        <v>99</v>
      </c>
      <c r="I604" s="4">
        <v>1101.76</v>
      </c>
      <c r="J604">
        <v>2</v>
      </c>
      <c r="K604" s="2">
        <v>0.25</v>
      </c>
      <c r="L604" s="4">
        <v>35.380000000000003</v>
      </c>
      <c r="M604" t="s">
        <v>143</v>
      </c>
      <c r="N604" t="s">
        <v>23</v>
      </c>
      <c r="O604">
        <f>YEAR(Table1[[#This Row],[Order Date]])</f>
        <v>2025</v>
      </c>
      <c r="P604" t="str">
        <f>TEXT(Table1[[#This Row],[Order Date]],"mmmm")</f>
        <v>March</v>
      </c>
      <c r="Q604" t="str">
        <f>TEXT(Table1[[#This Row],[Order Date]],"mm")</f>
        <v>03</v>
      </c>
      <c r="R604" s="2">
        <f>Table1[[#This Row],[Profit]]/Table1[[#This Row],[Sales]]</f>
        <v>3.2112256752831837E-2</v>
      </c>
      <c r="S604" t="str">
        <f t="shared" si="9"/>
        <v>High (21-30%)</v>
      </c>
    </row>
    <row r="605" spans="1:19" x14ac:dyDescent="0.2">
      <c r="A605" t="s">
        <v>1289</v>
      </c>
      <c r="B605" s="3" t="s">
        <v>59</v>
      </c>
      <c r="C605" t="s">
        <v>79</v>
      </c>
      <c r="D605" t="s">
        <v>48</v>
      </c>
      <c r="E605" t="s">
        <v>110</v>
      </c>
      <c r="F605" t="s">
        <v>67</v>
      </c>
      <c r="G605" t="s">
        <v>115</v>
      </c>
      <c r="H605" t="s">
        <v>212</v>
      </c>
      <c r="I605" s="4">
        <v>424.4</v>
      </c>
      <c r="J605">
        <v>5</v>
      </c>
      <c r="K605" s="2">
        <v>0.15</v>
      </c>
      <c r="L605" s="4">
        <v>91.88</v>
      </c>
      <c r="M605" t="s">
        <v>38</v>
      </c>
      <c r="N605" t="s">
        <v>76</v>
      </c>
      <c r="O605">
        <f>YEAR(Table1[[#This Row],[Order Date]])</f>
        <v>2024</v>
      </c>
      <c r="P605" t="str">
        <f>TEXT(Table1[[#This Row],[Order Date]],"mmmm")</f>
        <v>October</v>
      </c>
      <c r="Q605" t="str">
        <f>TEXT(Table1[[#This Row],[Order Date]],"mm")</f>
        <v>10</v>
      </c>
      <c r="R605" s="2">
        <f>Table1[[#This Row],[Profit]]/Table1[[#This Row],[Sales]]</f>
        <v>0.21649387370405279</v>
      </c>
      <c r="S605" t="str">
        <f t="shared" si="9"/>
        <v>Medium (11-20%)</v>
      </c>
    </row>
    <row r="606" spans="1:19" x14ac:dyDescent="0.2">
      <c r="A606" t="s">
        <v>1290</v>
      </c>
      <c r="B606" s="3" t="s">
        <v>1291</v>
      </c>
      <c r="C606" t="s">
        <v>535</v>
      </c>
      <c r="D606" t="s">
        <v>137</v>
      </c>
      <c r="E606" t="s">
        <v>142</v>
      </c>
      <c r="F606" t="s">
        <v>55</v>
      </c>
      <c r="G606" t="s">
        <v>74</v>
      </c>
      <c r="H606" t="s">
        <v>133</v>
      </c>
      <c r="I606" s="4">
        <v>124.72</v>
      </c>
      <c r="J606">
        <v>4</v>
      </c>
      <c r="K606" s="2">
        <v>0.15</v>
      </c>
      <c r="L606" s="4">
        <v>-3.76</v>
      </c>
      <c r="M606" t="s">
        <v>22</v>
      </c>
      <c r="N606" t="s">
        <v>23</v>
      </c>
      <c r="O606">
        <f>YEAR(Table1[[#This Row],[Order Date]])</f>
        <v>2025</v>
      </c>
      <c r="P606" t="str">
        <f>TEXT(Table1[[#This Row],[Order Date]],"mmmm")</f>
        <v>April</v>
      </c>
      <c r="Q606" t="str">
        <f>TEXT(Table1[[#This Row],[Order Date]],"mm")</f>
        <v>04</v>
      </c>
      <c r="R606" s="2">
        <f>Table1[[#This Row],[Profit]]/Table1[[#This Row],[Sales]]</f>
        <v>-3.0147530468248876E-2</v>
      </c>
      <c r="S606" t="str">
        <f t="shared" si="9"/>
        <v>Medium (11-20%)</v>
      </c>
    </row>
    <row r="607" spans="1:19" x14ac:dyDescent="0.2">
      <c r="A607" t="s">
        <v>1292</v>
      </c>
      <c r="B607" s="3" t="s">
        <v>1293</v>
      </c>
      <c r="C607" t="s">
        <v>1294</v>
      </c>
      <c r="D607" t="s">
        <v>48</v>
      </c>
      <c r="E607" t="s">
        <v>110</v>
      </c>
      <c r="F607" t="s">
        <v>19</v>
      </c>
      <c r="G607" t="s">
        <v>20</v>
      </c>
      <c r="H607" t="s">
        <v>347</v>
      </c>
      <c r="I607" s="4">
        <v>638.91</v>
      </c>
      <c r="J607">
        <v>3</v>
      </c>
      <c r="K607" s="2">
        <v>0.15</v>
      </c>
      <c r="L607" s="4">
        <v>124.97</v>
      </c>
      <c r="M607" t="s">
        <v>31</v>
      </c>
      <c r="N607" t="s">
        <v>39</v>
      </c>
      <c r="O607">
        <f>YEAR(Table1[[#This Row],[Order Date]])</f>
        <v>2024</v>
      </c>
      <c r="P607" t="str">
        <f>TEXT(Table1[[#This Row],[Order Date]],"mmmm")</f>
        <v>August</v>
      </c>
      <c r="Q607" t="str">
        <f>TEXT(Table1[[#This Row],[Order Date]],"mm")</f>
        <v>08</v>
      </c>
      <c r="R607" s="2">
        <f>Table1[[#This Row],[Profit]]/Table1[[#This Row],[Sales]]</f>
        <v>0.19559875412812447</v>
      </c>
      <c r="S607" t="str">
        <f t="shared" si="9"/>
        <v>Medium (11-20%)</v>
      </c>
    </row>
    <row r="608" spans="1:19" x14ac:dyDescent="0.2">
      <c r="A608" t="s">
        <v>1295</v>
      </c>
      <c r="B608" s="3" t="s">
        <v>1296</v>
      </c>
      <c r="C608" t="s">
        <v>153</v>
      </c>
      <c r="D608" t="s">
        <v>137</v>
      </c>
      <c r="E608" t="s">
        <v>138</v>
      </c>
      <c r="F608" t="s">
        <v>55</v>
      </c>
      <c r="G608" t="s">
        <v>56</v>
      </c>
      <c r="H608" t="s">
        <v>57</v>
      </c>
      <c r="I608" s="4">
        <v>121.08</v>
      </c>
      <c r="J608">
        <v>4</v>
      </c>
      <c r="K608" s="2">
        <v>0.2</v>
      </c>
      <c r="L608" s="4">
        <v>6.65</v>
      </c>
      <c r="M608" t="s">
        <v>44</v>
      </c>
      <c r="N608" t="s">
        <v>76</v>
      </c>
      <c r="O608">
        <f>YEAR(Table1[[#This Row],[Order Date]])</f>
        <v>2024</v>
      </c>
      <c r="P608" t="str">
        <f>TEXT(Table1[[#This Row],[Order Date]],"mmmm")</f>
        <v>May</v>
      </c>
      <c r="Q608" t="str">
        <f>TEXT(Table1[[#This Row],[Order Date]],"mm")</f>
        <v>05</v>
      </c>
      <c r="R608" s="2">
        <f>Table1[[#This Row],[Profit]]/Table1[[#This Row],[Sales]]</f>
        <v>5.4922365378262311E-2</v>
      </c>
      <c r="S608" t="str">
        <f t="shared" si="9"/>
        <v>Medium (11-20%)</v>
      </c>
    </row>
    <row r="609" spans="1:19" x14ac:dyDescent="0.2">
      <c r="A609" t="s">
        <v>1297</v>
      </c>
      <c r="B609" s="3" t="s">
        <v>477</v>
      </c>
      <c r="C609" t="s">
        <v>1006</v>
      </c>
      <c r="D609" t="s">
        <v>137</v>
      </c>
      <c r="E609" t="s">
        <v>138</v>
      </c>
      <c r="F609" t="s">
        <v>55</v>
      </c>
      <c r="G609" t="s">
        <v>56</v>
      </c>
      <c r="H609" t="s">
        <v>57</v>
      </c>
      <c r="I609" s="4">
        <v>3495.92</v>
      </c>
      <c r="J609">
        <v>4</v>
      </c>
      <c r="K609" s="2">
        <v>0.3</v>
      </c>
      <c r="L609" s="4">
        <v>-379.17</v>
      </c>
      <c r="M609" t="s">
        <v>195</v>
      </c>
      <c r="N609" t="s">
        <v>76</v>
      </c>
      <c r="O609">
        <f>YEAR(Table1[[#This Row],[Order Date]])</f>
        <v>2024</v>
      </c>
      <c r="P609" t="str">
        <f>TEXT(Table1[[#This Row],[Order Date]],"mmmm")</f>
        <v>December</v>
      </c>
      <c r="Q609" t="str">
        <f>TEXT(Table1[[#This Row],[Order Date]],"mm")</f>
        <v>12</v>
      </c>
      <c r="R609" s="2">
        <f>Table1[[#This Row],[Profit]]/Table1[[#This Row],[Sales]]</f>
        <v>-0.10846071992494108</v>
      </c>
      <c r="S609" t="str">
        <f t="shared" si="9"/>
        <v>High (21-30%)</v>
      </c>
    </row>
    <row r="610" spans="1:19" x14ac:dyDescent="0.2">
      <c r="A610" t="s">
        <v>1298</v>
      </c>
      <c r="B610" s="3" t="s">
        <v>1123</v>
      </c>
      <c r="C610" t="s">
        <v>491</v>
      </c>
      <c r="D610" t="s">
        <v>17</v>
      </c>
      <c r="E610" t="s">
        <v>18</v>
      </c>
      <c r="F610" t="s">
        <v>19</v>
      </c>
      <c r="G610" t="s">
        <v>36</v>
      </c>
      <c r="H610" t="s">
        <v>111</v>
      </c>
      <c r="I610" s="4">
        <v>5155.3</v>
      </c>
      <c r="J610">
        <v>10</v>
      </c>
      <c r="K610" s="2">
        <v>0.25</v>
      </c>
      <c r="L610" s="4">
        <v>-942.51</v>
      </c>
      <c r="M610" t="s">
        <v>31</v>
      </c>
      <c r="N610" t="s">
        <v>23</v>
      </c>
      <c r="O610">
        <f>YEAR(Table1[[#This Row],[Order Date]])</f>
        <v>2024</v>
      </c>
      <c r="P610" t="str">
        <f>TEXT(Table1[[#This Row],[Order Date]],"mmmm")</f>
        <v>August</v>
      </c>
      <c r="Q610" t="str">
        <f>TEXT(Table1[[#This Row],[Order Date]],"mm")</f>
        <v>08</v>
      </c>
      <c r="R610" s="2">
        <f>Table1[[#This Row],[Profit]]/Table1[[#This Row],[Sales]]</f>
        <v>-0.18282350202704012</v>
      </c>
      <c r="S610" t="str">
        <f t="shared" si="9"/>
        <v>High (21-30%)</v>
      </c>
    </row>
    <row r="611" spans="1:19" x14ac:dyDescent="0.2">
      <c r="A611" t="s">
        <v>1299</v>
      </c>
      <c r="B611" s="3" t="s">
        <v>135</v>
      </c>
      <c r="C611" t="s">
        <v>198</v>
      </c>
      <c r="D611" t="s">
        <v>27</v>
      </c>
      <c r="E611" t="s">
        <v>43</v>
      </c>
      <c r="F611" t="s">
        <v>67</v>
      </c>
      <c r="G611" t="s">
        <v>85</v>
      </c>
      <c r="H611" t="s">
        <v>86</v>
      </c>
      <c r="I611" s="4">
        <v>4143.5600000000004</v>
      </c>
      <c r="J611">
        <v>4</v>
      </c>
      <c r="K611" s="2">
        <v>0.2</v>
      </c>
      <c r="L611" s="4">
        <v>63.35</v>
      </c>
      <c r="M611" t="s">
        <v>63</v>
      </c>
      <c r="N611" t="s">
        <v>76</v>
      </c>
      <c r="O611">
        <f>YEAR(Table1[[#This Row],[Order Date]])</f>
        <v>2025</v>
      </c>
      <c r="P611" t="str">
        <f>TEXT(Table1[[#This Row],[Order Date]],"mmmm")</f>
        <v>July</v>
      </c>
      <c r="Q611" t="str">
        <f>TEXT(Table1[[#This Row],[Order Date]],"mm")</f>
        <v>07</v>
      </c>
      <c r="R611" s="2">
        <f>Table1[[#This Row],[Profit]]/Table1[[#This Row],[Sales]]</f>
        <v>1.5288785488806725E-2</v>
      </c>
      <c r="S611" t="str">
        <f t="shared" si="9"/>
        <v>Medium (11-20%)</v>
      </c>
    </row>
    <row r="612" spans="1:19" x14ac:dyDescent="0.2">
      <c r="A612" t="s">
        <v>1300</v>
      </c>
      <c r="B612" s="3" t="s">
        <v>875</v>
      </c>
      <c r="C612" t="s">
        <v>690</v>
      </c>
      <c r="D612" t="s">
        <v>48</v>
      </c>
      <c r="E612" t="s">
        <v>84</v>
      </c>
      <c r="F612" t="s">
        <v>55</v>
      </c>
      <c r="G612" t="s">
        <v>74</v>
      </c>
      <c r="H612" t="s">
        <v>133</v>
      </c>
      <c r="I612" s="4">
        <v>8462.8799999999992</v>
      </c>
      <c r="J612">
        <v>9</v>
      </c>
      <c r="K612" s="2">
        <v>0.05</v>
      </c>
      <c r="L612" s="4">
        <v>2387.1999999999998</v>
      </c>
      <c r="M612" t="s">
        <v>107</v>
      </c>
      <c r="N612" t="s">
        <v>76</v>
      </c>
      <c r="O612">
        <f>YEAR(Table1[[#This Row],[Order Date]])</f>
        <v>2025</v>
      </c>
      <c r="P612" t="str">
        <f>TEXT(Table1[[#This Row],[Order Date]],"mmmm")</f>
        <v>December</v>
      </c>
      <c r="Q612" t="str">
        <f>TEXT(Table1[[#This Row],[Order Date]],"mm")</f>
        <v>12</v>
      </c>
      <c r="R612" s="2">
        <f>Table1[[#This Row],[Profit]]/Table1[[#This Row],[Sales]]</f>
        <v>0.28207891403399316</v>
      </c>
      <c r="S612" t="str">
        <f t="shared" si="9"/>
        <v>Low (1-10%)</v>
      </c>
    </row>
    <row r="613" spans="1:19" x14ac:dyDescent="0.2">
      <c r="A613" t="s">
        <v>1301</v>
      </c>
      <c r="B613" s="3" t="s">
        <v>127</v>
      </c>
      <c r="C613" t="s">
        <v>132</v>
      </c>
      <c r="D613" t="s">
        <v>137</v>
      </c>
      <c r="E613" t="s">
        <v>242</v>
      </c>
      <c r="F613" t="s">
        <v>55</v>
      </c>
      <c r="G613" t="s">
        <v>98</v>
      </c>
      <c r="H613" t="s">
        <v>99</v>
      </c>
      <c r="I613" s="4">
        <v>708.66</v>
      </c>
      <c r="J613">
        <v>3</v>
      </c>
      <c r="K613" s="2">
        <v>0.15</v>
      </c>
      <c r="L613" s="4">
        <v>108.53</v>
      </c>
      <c r="M613" t="s">
        <v>107</v>
      </c>
      <c r="N613" t="s">
        <v>39</v>
      </c>
      <c r="O613">
        <f>YEAR(Table1[[#This Row],[Order Date]])</f>
        <v>2024</v>
      </c>
      <c r="P613" t="str">
        <f>TEXT(Table1[[#This Row],[Order Date]],"mmmm")</f>
        <v>December</v>
      </c>
      <c r="Q613" t="str">
        <f>TEXT(Table1[[#This Row],[Order Date]],"mm")</f>
        <v>12</v>
      </c>
      <c r="R613" s="2">
        <f>Table1[[#This Row],[Profit]]/Table1[[#This Row],[Sales]]</f>
        <v>0.15314819518527928</v>
      </c>
      <c r="S613" t="str">
        <f t="shared" si="9"/>
        <v>Medium (11-20%)</v>
      </c>
    </row>
    <row r="614" spans="1:19" x14ac:dyDescent="0.2">
      <c r="A614" t="s">
        <v>1302</v>
      </c>
      <c r="B614" s="3" t="s">
        <v>558</v>
      </c>
      <c r="C614" t="s">
        <v>308</v>
      </c>
      <c r="D614" t="s">
        <v>137</v>
      </c>
      <c r="E614" t="s">
        <v>138</v>
      </c>
      <c r="F614" t="s">
        <v>19</v>
      </c>
      <c r="G614" t="s">
        <v>29</v>
      </c>
      <c r="H614" t="s">
        <v>50</v>
      </c>
      <c r="I614" s="4">
        <v>6601.5</v>
      </c>
      <c r="J614">
        <v>10</v>
      </c>
      <c r="K614" s="2">
        <v>0.1</v>
      </c>
      <c r="L614" s="4">
        <v>1066.8499999999999</v>
      </c>
      <c r="M614" t="s">
        <v>143</v>
      </c>
      <c r="N614" t="s">
        <v>32</v>
      </c>
      <c r="O614">
        <f>YEAR(Table1[[#This Row],[Order Date]])</f>
        <v>2025</v>
      </c>
      <c r="P614" t="str">
        <f>TEXT(Table1[[#This Row],[Order Date]],"mmmm")</f>
        <v>March</v>
      </c>
      <c r="Q614" t="str">
        <f>TEXT(Table1[[#This Row],[Order Date]],"mm")</f>
        <v>03</v>
      </c>
      <c r="R614" s="2">
        <f>Table1[[#This Row],[Profit]]/Table1[[#This Row],[Sales]]</f>
        <v>0.1616072104824661</v>
      </c>
      <c r="S614" t="str">
        <f t="shared" si="9"/>
        <v>Low (1-10%)</v>
      </c>
    </row>
    <row r="615" spans="1:19" x14ac:dyDescent="0.2">
      <c r="A615" t="s">
        <v>1303</v>
      </c>
      <c r="B615" s="3" t="s">
        <v>1304</v>
      </c>
      <c r="C615" t="s">
        <v>60</v>
      </c>
      <c r="D615" t="s">
        <v>27</v>
      </c>
      <c r="E615" t="s">
        <v>61</v>
      </c>
      <c r="F615" t="s">
        <v>67</v>
      </c>
      <c r="G615" t="s">
        <v>85</v>
      </c>
      <c r="H615" t="s">
        <v>125</v>
      </c>
      <c r="I615" s="4">
        <v>3207.42</v>
      </c>
      <c r="J615">
        <v>6</v>
      </c>
      <c r="K615" s="2">
        <v>0.15</v>
      </c>
      <c r="L615" s="4">
        <v>-100.21</v>
      </c>
      <c r="M615" t="s">
        <v>87</v>
      </c>
      <c r="N615" t="s">
        <v>32</v>
      </c>
      <c r="O615">
        <f>YEAR(Table1[[#This Row],[Order Date]])</f>
        <v>2025</v>
      </c>
      <c r="P615" t="str">
        <f>TEXT(Table1[[#This Row],[Order Date]],"mmmm")</f>
        <v>May</v>
      </c>
      <c r="Q615" t="str">
        <f>TEXT(Table1[[#This Row],[Order Date]],"mm")</f>
        <v>05</v>
      </c>
      <c r="R615" s="2">
        <f>Table1[[#This Row],[Profit]]/Table1[[#This Row],[Sales]]</f>
        <v>-3.124317987666099E-2</v>
      </c>
      <c r="S615" t="str">
        <f t="shared" si="9"/>
        <v>Medium (11-20%)</v>
      </c>
    </row>
    <row r="616" spans="1:19" x14ac:dyDescent="0.2">
      <c r="A616" t="s">
        <v>1305</v>
      </c>
      <c r="B616" s="3" t="s">
        <v>95</v>
      </c>
      <c r="C616" t="s">
        <v>146</v>
      </c>
      <c r="D616" t="s">
        <v>17</v>
      </c>
      <c r="E616" t="s">
        <v>80</v>
      </c>
      <c r="F616" t="s">
        <v>67</v>
      </c>
      <c r="G616" t="s">
        <v>85</v>
      </c>
      <c r="H616" t="s">
        <v>86</v>
      </c>
      <c r="I616" s="4">
        <v>477.98</v>
      </c>
      <c r="J616">
        <v>2</v>
      </c>
      <c r="K616" s="2">
        <v>0.3</v>
      </c>
      <c r="L616" s="4">
        <v>-27.44</v>
      </c>
      <c r="M616" t="s">
        <v>143</v>
      </c>
      <c r="N616" t="s">
        <v>76</v>
      </c>
      <c r="O616">
        <f>YEAR(Table1[[#This Row],[Order Date]])</f>
        <v>2025</v>
      </c>
      <c r="P616" t="str">
        <f>TEXT(Table1[[#This Row],[Order Date]],"mmmm")</f>
        <v>March</v>
      </c>
      <c r="Q616" t="str">
        <f>TEXT(Table1[[#This Row],[Order Date]],"mm")</f>
        <v>03</v>
      </c>
      <c r="R616" s="2">
        <f>Table1[[#This Row],[Profit]]/Table1[[#This Row],[Sales]]</f>
        <v>-5.740825975982259E-2</v>
      </c>
      <c r="S616" t="str">
        <f t="shared" si="9"/>
        <v>High (21-30%)</v>
      </c>
    </row>
    <row r="617" spans="1:19" x14ac:dyDescent="0.2">
      <c r="A617" t="s">
        <v>1306</v>
      </c>
      <c r="B617" s="3" t="s">
        <v>1307</v>
      </c>
      <c r="C617" t="s">
        <v>146</v>
      </c>
      <c r="D617" t="s">
        <v>17</v>
      </c>
      <c r="E617" t="s">
        <v>18</v>
      </c>
      <c r="F617" t="s">
        <v>55</v>
      </c>
      <c r="G617" t="s">
        <v>74</v>
      </c>
      <c r="H617" t="s">
        <v>272</v>
      </c>
      <c r="I617" s="4">
        <v>8957.52</v>
      </c>
      <c r="J617">
        <v>9</v>
      </c>
      <c r="K617" s="2">
        <v>0.05</v>
      </c>
      <c r="L617" s="4">
        <v>2687.85</v>
      </c>
      <c r="M617" t="s">
        <v>38</v>
      </c>
      <c r="N617" t="s">
        <v>23</v>
      </c>
      <c r="O617">
        <f>YEAR(Table1[[#This Row],[Order Date]])</f>
        <v>2024</v>
      </c>
      <c r="P617" t="str">
        <f>TEXT(Table1[[#This Row],[Order Date]],"mmmm")</f>
        <v>January</v>
      </c>
      <c r="Q617" t="str">
        <f>TEXT(Table1[[#This Row],[Order Date]],"mm")</f>
        <v>01</v>
      </c>
      <c r="R617" s="2">
        <f>Table1[[#This Row],[Profit]]/Table1[[#This Row],[Sales]]</f>
        <v>0.30006631299734743</v>
      </c>
      <c r="S617" t="str">
        <f t="shared" si="9"/>
        <v>Low (1-10%)</v>
      </c>
    </row>
    <row r="618" spans="1:19" x14ac:dyDescent="0.2">
      <c r="A618" t="s">
        <v>1308</v>
      </c>
      <c r="B618" s="3" t="s">
        <v>180</v>
      </c>
      <c r="C618" t="s">
        <v>646</v>
      </c>
      <c r="D618" t="s">
        <v>27</v>
      </c>
      <c r="E618" t="s">
        <v>61</v>
      </c>
      <c r="F618" t="s">
        <v>67</v>
      </c>
      <c r="G618" t="s">
        <v>68</v>
      </c>
      <c r="H618" t="s">
        <v>103</v>
      </c>
      <c r="I618" s="4">
        <v>234.84</v>
      </c>
      <c r="J618">
        <v>6</v>
      </c>
      <c r="K618" s="2">
        <v>0.1</v>
      </c>
      <c r="L618" s="4">
        <v>20.02</v>
      </c>
      <c r="M618" t="s">
        <v>44</v>
      </c>
      <c r="N618" t="s">
        <v>76</v>
      </c>
      <c r="O618">
        <f>YEAR(Table1[[#This Row],[Order Date]])</f>
        <v>2024</v>
      </c>
      <c r="P618" t="str">
        <f>TEXT(Table1[[#This Row],[Order Date]],"mmmm")</f>
        <v>July</v>
      </c>
      <c r="Q618" t="str">
        <f>TEXT(Table1[[#This Row],[Order Date]],"mm")</f>
        <v>07</v>
      </c>
      <c r="R618" s="2">
        <f>Table1[[#This Row],[Profit]]/Table1[[#This Row],[Sales]]</f>
        <v>8.5249531595980241E-2</v>
      </c>
      <c r="S618" t="str">
        <f t="shared" si="9"/>
        <v>Low (1-10%)</v>
      </c>
    </row>
    <row r="619" spans="1:19" x14ac:dyDescent="0.2">
      <c r="A619" t="s">
        <v>1309</v>
      </c>
      <c r="B619" s="3" t="s">
        <v>472</v>
      </c>
      <c r="C619" t="s">
        <v>903</v>
      </c>
      <c r="D619" t="s">
        <v>48</v>
      </c>
      <c r="E619" t="s">
        <v>84</v>
      </c>
      <c r="F619" t="s">
        <v>67</v>
      </c>
      <c r="G619" t="s">
        <v>85</v>
      </c>
      <c r="H619" t="s">
        <v>253</v>
      </c>
      <c r="I619" s="4">
        <v>1061.58</v>
      </c>
      <c r="J619">
        <v>6</v>
      </c>
      <c r="K619" s="2">
        <v>0.25</v>
      </c>
      <c r="L619" s="4">
        <v>-95.35</v>
      </c>
      <c r="M619" t="s">
        <v>117</v>
      </c>
      <c r="N619" t="s">
        <v>32</v>
      </c>
      <c r="O619">
        <f>YEAR(Table1[[#This Row],[Order Date]])</f>
        <v>2025</v>
      </c>
      <c r="P619" t="str">
        <f>TEXT(Table1[[#This Row],[Order Date]],"mmmm")</f>
        <v>August</v>
      </c>
      <c r="Q619" t="str">
        <f>TEXT(Table1[[#This Row],[Order Date]],"mm")</f>
        <v>08</v>
      </c>
      <c r="R619" s="2">
        <f>Table1[[#This Row],[Profit]]/Table1[[#This Row],[Sales]]</f>
        <v>-8.9818949113585414E-2</v>
      </c>
      <c r="S619" t="str">
        <f t="shared" si="9"/>
        <v>High (21-30%)</v>
      </c>
    </row>
    <row r="620" spans="1:19" x14ac:dyDescent="0.2">
      <c r="A620" t="s">
        <v>1310</v>
      </c>
      <c r="B620" s="3" t="s">
        <v>255</v>
      </c>
      <c r="C620" t="s">
        <v>186</v>
      </c>
      <c r="D620" t="s">
        <v>48</v>
      </c>
      <c r="E620" t="s">
        <v>110</v>
      </c>
      <c r="F620" t="s">
        <v>67</v>
      </c>
      <c r="G620" t="s">
        <v>68</v>
      </c>
      <c r="H620" t="s">
        <v>103</v>
      </c>
      <c r="I620" s="4">
        <v>1102.8499999999999</v>
      </c>
      <c r="J620">
        <v>7</v>
      </c>
      <c r="K620" s="2">
        <v>0</v>
      </c>
      <c r="L620" s="4">
        <v>490.92</v>
      </c>
      <c r="M620" t="s">
        <v>143</v>
      </c>
      <c r="N620" t="s">
        <v>39</v>
      </c>
      <c r="O620">
        <f>YEAR(Table1[[#This Row],[Order Date]])</f>
        <v>2024</v>
      </c>
      <c r="P620" t="str">
        <f>TEXT(Table1[[#This Row],[Order Date]],"mmmm")</f>
        <v>April</v>
      </c>
      <c r="Q620" t="str">
        <f>TEXT(Table1[[#This Row],[Order Date]],"mm")</f>
        <v>04</v>
      </c>
      <c r="R620" s="2">
        <f>Table1[[#This Row],[Profit]]/Table1[[#This Row],[Sales]]</f>
        <v>0.44513759804143815</v>
      </c>
      <c r="S620" t="str">
        <f t="shared" si="9"/>
        <v>No Discount</v>
      </c>
    </row>
    <row r="621" spans="1:19" x14ac:dyDescent="0.2">
      <c r="A621" t="s">
        <v>1311</v>
      </c>
      <c r="B621" s="3" t="s">
        <v>1312</v>
      </c>
      <c r="C621" t="s">
        <v>1006</v>
      </c>
      <c r="D621" t="s">
        <v>17</v>
      </c>
      <c r="E621" t="s">
        <v>80</v>
      </c>
      <c r="F621" t="s">
        <v>55</v>
      </c>
      <c r="G621" t="s">
        <v>56</v>
      </c>
      <c r="H621" t="s">
        <v>129</v>
      </c>
      <c r="I621" s="4">
        <v>628.94000000000005</v>
      </c>
      <c r="J621">
        <v>1</v>
      </c>
      <c r="K621" s="2">
        <v>0.25</v>
      </c>
      <c r="L621" s="4">
        <v>-59.35</v>
      </c>
      <c r="M621" t="s">
        <v>143</v>
      </c>
      <c r="N621" t="s">
        <v>39</v>
      </c>
      <c r="O621">
        <f>YEAR(Table1[[#This Row],[Order Date]])</f>
        <v>2025</v>
      </c>
      <c r="P621" t="str">
        <f>TEXT(Table1[[#This Row],[Order Date]],"mmmm")</f>
        <v>July</v>
      </c>
      <c r="Q621" t="str">
        <f>TEXT(Table1[[#This Row],[Order Date]],"mm")</f>
        <v>07</v>
      </c>
      <c r="R621" s="2">
        <f>Table1[[#This Row],[Profit]]/Table1[[#This Row],[Sales]]</f>
        <v>-9.4365122269214868E-2</v>
      </c>
      <c r="S621" t="str">
        <f t="shared" si="9"/>
        <v>High (21-30%)</v>
      </c>
    </row>
    <row r="622" spans="1:19" x14ac:dyDescent="0.2">
      <c r="A622" t="s">
        <v>1313</v>
      </c>
      <c r="B622" s="3" t="s">
        <v>534</v>
      </c>
      <c r="C622" t="s">
        <v>601</v>
      </c>
      <c r="D622" t="s">
        <v>137</v>
      </c>
      <c r="E622" t="s">
        <v>138</v>
      </c>
      <c r="F622" t="s">
        <v>67</v>
      </c>
      <c r="G622" t="s">
        <v>68</v>
      </c>
      <c r="H622" t="s">
        <v>69</v>
      </c>
      <c r="I622" s="4">
        <v>5274.08</v>
      </c>
      <c r="J622">
        <v>7</v>
      </c>
      <c r="K622" s="2">
        <v>0.2</v>
      </c>
      <c r="L622" s="4">
        <v>786.64</v>
      </c>
      <c r="M622" t="s">
        <v>107</v>
      </c>
      <c r="N622" t="s">
        <v>23</v>
      </c>
      <c r="O622">
        <f>YEAR(Table1[[#This Row],[Order Date]])</f>
        <v>2024</v>
      </c>
      <c r="P622" t="str">
        <f>TEXT(Table1[[#This Row],[Order Date]],"mmmm")</f>
        <v>November</v>
      </c>
      <c r="Q622" t="str">
        <f>TEXT(Table1[[#This Row],[Order Date]],"mm")</f>
        <v>11</v>
      </c>
      <c r="R622" s="2">
        <f>Table1[[#This Row],[Profit]]/Table1[[#This Row],[Sales]]</f>
        <v>0.14915207960440494</v>
      </c>
      <c r="S622" t="str">
        <f t="shared" si="9"/>
        <v>Medium (11-20%)</v>
      </c>
    </row>
    <row r="623" spans="1:19" x14ac:dyDescent="0.2">
      <c r="A623" t="s">
        <v>1314</v>
      </c>
      <c r="B623" s="3" t="s">
        <v>1212</v>
      </c>
      <c r="C623" t="s">
        <v>335</v>
      </c>
      <c r="D623" t="s">
        <v>17</v>
      </c>
      <c r="E623" t="s">
        <v>97</v>
      </c>
      <c r="F623" t="s">
        <v>55</v>
      </c>
      <c r="G623" t="s">
        <v>98</v>
      </c>
      <c r="H623" t="s">
        <v>154</v>
      </c>
      <c r="I623" s="4">
        <v>3317.4</v>
      </c>
      <c r="J623">
        <v>5</v>
      </c>
      <c r="K623" s="2">
        <v>0.3</v>
      </c>
      <c r="L623" s="4">
        <v>-370.43</v>
      </c>
      <c r="M623" t="s">
        <v>87</v>
      </c>
      <c r="N623" t="s">
        <v>39</v>
      </c>
      <c r="O623">
        <f>YEAR(Table1[[#This Row],[Order Date]])</f>
        <v>2025</v>
      </c>
      <c r="P623" t="str">
        <f>TEXT(Table1[[#This Row],[Order Date]],"mmmm")</f>
        <v>October</v>
      </c>
      <c r="Q623" t="str">
        <f>TEXT(Table1[[#This Row],[Order Date]],"mm")</f>
        <v>10</v>
      </c>
      <c r="R623" s="2">
        <f>Table1[[#This Row],[Profit]]/Table1[[#This Row],[Sales]]</f>
        <v>-0.11166274793512992</v>
      </c>
      <c r="S623" t="str">
        <f t="shared" si="9"/>
        <v>High (21-30%)</v>
      </c>
    </row>
    <row r="624" spans="1:19" x14ac:dyDescent="0.2">
      <c r="A624" t="s">
        <v>1315</v>
      </c>
      <c r="B624" s="3" t="s">
        <v>796</v>
      </c>
      <c r="C624" t="s">
        <v>932</v>
      </c>
      <c r="D624" t="s">
        <v>27</v>
      </c>
      <c r="E624" t="s">
        <v>43</v>
      </c>
      <c r="F624" t="s">
        <v>67</v>
      </c>
      <c r="G624" t="s">
        <v>115</v>
      </c>
      <c r="H624" t="s">
        <v>178</v>
      </c>
      <c r="I624" s="4">
        <v>8726.58</v>
      </c>
      <c r="J624">
        <v>9</v>
      </c>
      <c r="K624" s="2">
        <v>0.3</v>
      </c>
      <c r="L624" s="4">
        <v>-1012.32</v>
      </c>
      <c r="M624" t="s">
        <v>107</v>
      </c>
      <c r="N624" t="s">
        <v>32</v>
      </c>
      <c r="O624">
        <f>YEAR(Table1[[#This Row],[Order Date]])</f>
        <v>2024</v>
      </c>
      <c r="P624" t="str">
        <f>TEXT(Table1[[#This Row],[Order Date]],"mmmm")</f>
        <v>April</v>
      </c>
      <c r="Q624" t="str">
        <f>TEXT(Table1[[#This Row],[Order Date]],"mm")</f>
        <v>04</v>
      </c>
      <c r="R624" s="2">
        <f>Table1[[#This Row],[Profit]]/Table1[[#This Row],[Sales]]</f>
        <v>-0.11600420783399683</v>
      </c>
      <c r="S624" t="str">
        <f t="shared" si="9"/>
        <v>High (21-30%)</v>
      </c>
    </row>
    <row r="625" spans="1:19" x14ac:dyDescent="0.2">
      <c r="A625" t="s">
        <v>1316</v>
      </c>
      <c r="B625" s="3" t="s">
        <v>244</v>
      </c>
      <c r="C625" t="s">
        <v>252</v>
      </c>
      <c r="D625" t="s">
        <v>27</v>
      </c>
      <c r="E625" t="s">
        <v>28</v>
      </c>
      <c r="F625" t="s">
        <v>19</v>
      </c>
      <c r="G625" t="s">
        <v>20</v>
      </c>
      <c r="H625" t="s">
        <v>21</v>
      </c>
      <c r="I625" s="4">
        <v>401.73</v>
      </c>
      <c r="J625">
        <v>1</v>
      </c>
      <c r="K625" s="2">
        <v>0.15</v>
      </c>
      <c r="L625" s="4">
        <v>-7.94</v>
      </c>
      <c r="M625" t="s">
        <v>22</v>
      </c>
      <c r="N625" t="s">
        <v>32</v>
      </c>
      <c r="O625">
        <f>YEAR(Table1[[#This Row],[Order Date]])</f>
        <v>2025</v>
      </c>
      <c r="P625" t="str">
        <f>TEXT(Table1[[#This Row],[Order Date]],"mmmm")</f>
        <v>March</v>
      </c>
      <c r="Q625" t="str">
        <f>TEXT(Table1[[#This Row],[Order Date]],"mm")</f>
        <v>03</v>
      </c>
      <c r="R625" s="2">
        <f>Table1[[#This Row],[Profit]]/Table1[[#This Row],[Sales]]</f>
        <v>-1.9764518457670573E-2</v>
      </c>
      <c r="S625" t="str">
        <f t="shared" si="9"/>
        <v>Medium (11-20%)</v>
      </c>
    </row>
    <row r="626" spans="1:19" x14ac:dyDescent="0.2">
      <c r="A626" t="s">
        <v>1317</v>
      </c>
      <c r="B626" s="3" t="s">
        <v>1009</v>
      </c>
      <c r="C626" t="s">
        <v>256</v>
      </c>
      <c r="D626" t="s">
        <v>17</v>
      </c>
      <c r="E626" t="s">
        <v>97</v>
      </c>
      <c r="F626" t="s">
        <v>67</v>
      </c>
      <c r="G626" t="s">
        <v>68</v>
      </c>
      <c r="H626" t="s">
        <v>69</v>
      </c>
      <c r="I626" s="4">
        <v>919.94</v>
      </c>
      <c r="J626">
        <v>7</v>
      </c>
      <c r="K626" s="2">
        <v>0.1</v>
      </c>
      <c r="L626" s="4">
        <v>69.42</v>
      </c>
      <c r="M626" t="s">
        <v>44</v>
      </c>
      <c r="N626" t="s">
        <v>23</v>
      </c>
      <c r="O626">
        <f>YEAR(Table1[[#This Row],[Order Date]])</f>
        <v>2025</v>
      </c>
      <c r="P626" t="str">
        <f>TEXT(Table1[[#This Row],[Order Date]],"mmmm")</f>
        <v>August</v>
      </c>
      <c r="Q626" t="str">
        <f>TEXT(Table1[[#This Row],[Order Date]],"mm")</f>
        <v>08</v>
      </c>
      <c r="R626" s="2">
        <f>Table1[[#This Row],[Profit]]/Table1[[#This Row],[Sales]]</f>
        <v>7.5461443137595924E-2</v>
      </c>
      <c r="S626" t="str">
        <f t="shared" si="9"/>
        <v>Low (1-10%)</v>
      </c>
    </row>
    <row r="627" spans="1:19" x14ac:dyDescent="0.2">
      <c r="A627" t="s">
        <v>1318</v>
      </c>
      <c r="B627" s="3" t="s">
        <v>1319</v>
      </c>
      <c r="C627" t="s">
        <v>35</v>
      </c>
      <c r="D627" t="s">
        <v>137</v>
      </c>
      <c r="E627" t="s">
        <v>242</v>
      </c>
      <c r="F627" t="s">
        <v>55</v>
      </c>
      <c r="G627" t="s">
        <v>98</v>
      </c>
      <c r="H627" t="s">
        <v>154</v>
      </c>
      <c r="I627" s="4">
        <v>11195.2</v>
      </c>
      <c r="J627">
        <v>10</v>
      </c>
      <c r="K627" s="2">
        <v>0.2</v>
      </c>
      <c r="L627" s="4">
        <v>-778.78</v>
      </c>
      <c r="M627" t="s">
        <v>143</v>
      </c>
      <c r="N627" t="s">
        <v>23</v>
      </c>
      <c r="O627">
        <f>YEAR(Table1[[#This Row],[Order Date]])</f>
        <v>2025</v>
      </c>
      <c r="P627" t="str">
        <f>TEXT(Table1[[#This Row],[Order Date]],"mmmm")</f>
        <v>April</v>
      </c>
      <c r="Q627" t="str">
        <f>TEXT(Table1[[#This Row],[Order Date]],"mm")</f>
        <v>04</v>
      </c>
      <c r="R627" s="2">
        <f>Table1[[#This Row],[Profit]]/Table1[[#This Row],[Sales]]</f>
        <v>-6.9563741603544366E-2</v>
      </c>
      <c r="S627" t="str">
        <f t="shared" si="9"/>
        <v>Medium (11-20%)</v>
      </c>
    </row>
    <row r="628" spans="1:19" x14ac:dyDescent="0.2">
      <c r="A628" t="s">
        <v>1320</v>
      </c>
      <c r="B628" s="3" t="s">
        <v>1321</v>
      </c>
      <c r="C628" t="s">
        <v>1010</v>
      </c>
      <c r="D628" t="s">
        <v>48</v>
      </c>
      <c r="E628" t="s">
        <v>84</v>
      </c>
      <c r="F628" t="s">
        <v>19</v>
      </c>
      <c r="G628" t="s">
        <v>20</v>
      </c>
      <c r="H628" t="s">
        <v>347</v>
      </c>
      <c r="I628" s="4">
        <v>4920.03</v>
      </c>
      <c r="J628">
        <v>9</v>
      </c>
      <c r="K628" s="2">
        <v>0.25</v>
      </c>
      <c r="L628" s="4">
        <v>357.74</v>
      </c>
      <c r="M628" t="s">
        <v>195</v>
      </c>
      <c r="N628" t="s">
        <v>23</v>
      </c>
      <c r="O628">
        <f>YEAR(Table1[[#This Row],[Order Date]])</f>
        <v>2024</v>
      </c>
      <c r="P628" t="str">
        <f>TEXT(Table1[[#This Row],[Order Date]],"mmmm")</f>
        <v>October</v>
      </c>
      <c r="Q628" t="str">
        <f>TEXT(Table1[[#This Row],[Order Date]],"mm")</f>
        <v>10</v>
      </c>
      <c r="R628" s="2">
        <f>Table1[[#This Row],[Profit]]/Table1[[#This Row],[Sales]]</f>
        <v>7.2710938754438501E-2</v>
      </c>
      <c r="S628" t="str">
        <f t="shared" si="9"/>
        <v>High (21-30%)</v>
      </c>
    </row>
    <row r="629" spans="1:19" x14ac:dyDescent="0.2">
      <c r="A629" t="s">
        <v>1322</v>
      </c>
      <c r="B629" s="3" t="s">
        <v>1134</v>
      </c>
      <c r="C629" t="s">
        <v>1101</v>
      </c>
      <c r="D629" t="s">
        <v>48</v>
      </c>
      <c r="E629" t="s">
        <v>73</v>
      </c>
      <c r="F629" t="s">
        <v>67</v>
      </c>
      <c r="G629" t="s">
        <v>68</v>
      </c>
      <c r="H629" t="s">
        <v>69</v>
      </c>
      <c r="I629" s="4">
        <v>9882.18</v>
      </c>
      <c r="J629">
        <v>9</v>
      </c>
      <c r="K629" s="2">
        <v>0.2</v>
      </c>
      <c r="L629" s="4">
        <v>-637.38</v>
      </c>
      <c r="M629" t="s">
        <v>107</v>
      </c>
      <c r="N629" t="s">
        <v>23</v>
      </c>
      <c r="O629">
        <f>YEAR(Table1[[#This Row],[Order Date]])</f>
        <v>2024</v>
      </c>
      <c r="P629" t="str">
        <f>TEXT(Table1[[#This Row],[Order Date]],"mmmm")</f>
        <v>November</v>
      </c>
      <c r="Q629" t="str">
        <f>TEXT(Table1[[#This Row],[Order Date]],"mm")</f>
        <v>11</v>
      </c>
      <c r="R629" s="2">
        <f>Table1[[#This Row],[Profit]]/Table1[[#This Row],[Sales]]</f>
        <v>-6.4497914427788197E-2</v>
      </c>
      <c r="S629" t="str">
        <f t="shared" si="9"/>
        <v>Medium (11-20%)</v>
      </c>
    </row>
    <row r="630" spans="1:19" x14ac:dyDescent="0.2">
      <c r="A630" t="s">
        <v>1323</v>
      </c>
      <c r="B630" s="3" t="s">
        <v>1324</v>
      </c>
      <c r="C630" t="s">
        <v>256</v>
      </c>
      <c r="D630" t="s">
        <v>48</v>
      </c>
      <c r="E630" t="s">
        <v>49</v>
      </c>
      <c r="F630" t="s">
        <v>67</v>
      </c>
      <c r="G630" t="s">
        <v>68</v>
      </c>
      <c r="H630" t="s">
        <v>382</v>
      </c>
      <c r="I630" s="4">
        <v>286.83999999999997</v>
      </c>
      <c r="J630">
        <v>4</v>
      </c>
      <c r="K630" s="2">
        <v>0.15</v>
      </c>
      <c r="L630" s="4">
        <v>45.37</v>
      </c>
      <c r="M630" t="s">
        <v>63</v>
      </c>
      <c r="N630" t="s">
        <v>23</v>
      </c>
      <c r="O630">
        <f>YEAR(Table1[[#This Row],[Order Date]])</f>
        <v>2025</v>
      </c>
      <c r="P630" t="str">
        <f>TEXT(Table1[[#This Row],[Order Date]],"mmmm")</f>
        <v>October</v>
      </c>
      <c r="Q630" t="str">
        <f>TEXT(Table1[[#This Row],[Order Date]],"mm")</f>
        <v>10</v>
      </c>
      <c r="R630" s="2">
        <f>Table1[[#This Row],[Profit]]/Table1[[#This Row],[Sales]]</f>
        <v>0.15817180309580253</v>
      </c>
      <c r="S630" t="str">
        <f t="shared" si="9"/>
        <v>Medium (11-20%)</v>
      </c>
    </row>
    <row r="631" spans="1:19" x14ac:dyDescent="0.2">
      <c r="A631" t="s">
        <v>1325</v>
      </c>
      <c r="B631" s="3" t="s">
        <v>71</v>
      </c>
      <c r="C631" t="s">
        <v>452</v>
      </c>
      <c r="D631" t="s">
        <v>48</v>
      </c>
      <c r="E631" t="s">
        <v>84</v>
      </c>
      <c r="F631" t="s">
        <v>19</v>
      </c>
      <c r="G631" t="s">
        <v>36</v>
      </c>
      <c r="H631" t="s">
        <v>111</v>
      </c>
      <c r="I631" s="4">
        <v>8572.23</v>
      </c>
      <c r="J631">
        <v>9</v>
      </c>
      <c r="K631" s="2">
        <v>0.1</v>
      </c>
      <c r="L631" s="4">
        <v>443.72</v>
      </c>
      <c r="M631" t="s">
        <v>31</v>
      </c>
      <c r="N631" t="s">
        <v>32</v>
      </c>
      <c r="O631">
        <f>YEAR(Table1[[#This Row],[Order Date]])</f>
        <v>2024</v>
      </c>
      <c r="P631" t="str">
        <f>TEXT(Table1[[#This Row],[Order Date]],"mmmm")</f>
        <v>October</v>
      </c>
      <c r="Q631" t="str">
        <f>TEXT(Table1[[#This Row],[Order Date]],"mm")</f>
        <v>10</v>
      </c>
      <c r="R631" s="2">
        <f>Table1[[#This Row],[Profit]]/Table1[[#This Row],[Sales]]</f>
        <v>5.1762493540187332E-2</v>
      </c>
      <c r="S631" t="str">
        <f t="shared" si="9"/>
        <v>Low (1-10%)</v>
      </c>
    </row>
    <row r="632" spans="1:19" x14ac:dyDescent="0.2">
      <c r="A632" t="s">
        <v>1326</v>
      </c>
      <c r="B632" s="3" t="s">
        <v>751</v>
      </c>
      <c r="C632" t="s">
        <v>96</v>
      </c>
      <c r="D632" t="s">
        <v>17</v>
      </c>
      <c r="E632" t="s">
        <v>54</v>
      </c>
      <c r="F632" t="s">
        <v>19</v>
      </c>
      <c r="G632" t="s">
        <v>36</v>
      </c>
      <c r="H632" t="s">
        <v>37</v>
      </c>
      <c r="I632" s="4">
        <v>4252.59</v>
      </c>
      <c r="J632">
        <v>9</v>
      </c>
      <c r="K632" s="2">
        <v>0.25</v>
      </c>
      <c r="L632" s="4">
        <v>828.49</v>
      </c>
      <c r="M632" t="s">
        <v>38</v>
      </c>
      <c r="N632" t="s">
        <v>76</v>
      </c>
      <c r="O632">
        <f>YEAR(Table1[[#This Row],[Order Date]])</f>
        <v>2025</v>
      </c>
      <c r="P632" t="str">
        <f>TEXT(Table1[[#This Row],[Order Date]],"mmmm")</f>
        <v>January</v>
      </c>
      <c r="Q632" t="str">
        <f>TEXT(Table1[[#This Row],[Order Date]],"mm")</f>
        <v>01</v>
      </c>
      <c r="R632" s="2">
        <f>Table1[[#This Row],[Profit]]/Table1[[#This Row],[Sales]]</f>
        <v>0.19482009786976878</v>
      </c>
      <c r="S632" t="str">
        <f t="shared" si="9"/>
        <v>High (21-30%)</v>
      </c>
    </row>
    <row r="633" spans="1:19" x14ac:dyDescent="0.2">
      <c r="A633" t="s">
        <v>1327</v>
      </c>
      <c r="B633" s="3" t="s">
        <v>1328</v>
      </c>
      <c r="C633" t="s">
        <v>281</v>
      </c>
      <c r="D633" t="s">
        <v>27</v>
      </c>
      <c r="E633" t="s">
        <v>61</v>
      </c>
      <c r="F633" t="s">
        <v>19</v>
      </c>
      <c r="G633" t="s">
        <v>36</v>
      </c>
      <c r="H633" t="s">
        <v>222</v>
      </c>
      <c r="I633" s="4">
        <v>4932</v>
      </c>
      <c r="J633">
        <v>5</v>
      </c>
      <c r="K633" s="2">
        <v>0.25</v>
      </c>
      <c r="L633" s="4">
        <v>-299.17</v>
      </c>
      <c r="M633" t="s">
        <v>117</v>
      </c>
      <c r="N633" t="s">
        <v>23</v>
      </c>
      <c r="O633">
        <f>YEAR(Table1[[#This Row],[Order Date]])</f>
        <v>2024</v>
      </c>
      <c r="P633" t="str">
        <f>TEXT(Table1[[#This Row],[Order Date]],"mmmm")</f>
        <v>June</v>
      </c>
      <c r="Q633" t="str">
        <f>TEXT(Table1[[#This Row],[Order Date]],"mm")</f>
        <v>06</v>
      </c>
      <c r="R633" s="2">
        <f>Table1[[#This Row],[Profit]]/Table1[[#This Row],[Sales]]</f>
        <v>-6.0658961881589625E-2</v>
      </c>
      <c r="S633" t="str">
        <f t="shared" si="9"/>
        <v>High (21-30%)</v>
      </c>
    </row>
    <row r="634" spans="1:19" x14ac:dyDescent="0.2">
      <c r="A634" t="s">
        <v>1329</v>
      </c>
      <c r="B634" s="3" t="s">
        <v>1282</v>
      </c>
      <c r="C634" t="s">
        <v>516</v>
      </c>
      <c r="D634" t="s">
        <v>17</v>
      </c>
      <c r="E634" t="s">
        <v>80</v>
      </c>
      <c r="F634" t="s">
        <v>55</v>
      </c>
      <c r="G634" t="s">
        <v>98</v>
      </c>
      <c r="H634" t="s">
        <v>99</v>
      </c>
      <c r="I634" s="4">
        <v>4775.26</v>
      </c>
      <c r="J634">
        <v>7</v>
      </c>
      <c r="K634" s="2">
        <v>0.1</v>
      </c>
      <c r="L634" s="4">
        <v>988.97</v>
      </c>
      <c r="M634" t="s">
        <v>22</v>
      </c>
      <c r="N634" t="s">
        <v>39</v>
      </c>
      <c r="O634">
        <f>YEAR(Table1[[#This Row],[Order Date]])</f>
        <v>2024</v>
      </c>
      <c r="P634" t="str">
        <f>TEXT(Table1[[#This Row],[Order Date]],"mmmm")</f>
        <v>January</v>
      </c>
      <c r="Q634" t="str">
        <f>TEXT(Table1[[#This Row],[Order Date]],"mm")</f>
        <v>01</v>
      </c>
      <c r="R634" s="2">
        <f>Table1[[#This Row],[Profit]]/Table1[[#This Row],[Sales]]</f>
        <v>0.20710285932074901</v>
      </c>
      <c r="S634" t="str">
        <f t="shared" si="9"/>
        <v>Low (1-10%)</v>
      </c>
    </row>
    <row r="635" spans="1:19" x14ac:dyDescent="0.2">
      <c r="A635" t="s">
        <v>1330</v>
      </c>
      <c r="B635" s="3" t="s">
        <v>568</v>
      </c>
      <c r="C635" t="s">
        <v>535</v>
      </c>
      <c r="D635" t="s">
        <v>48</v>
      </c>
      <c r="E635" t="s">
        <v>49</v>
      </c>
      <c r="F635" t="s">
        <v>19</v>
      </c>
      <c r="G635" t="s">
        <v>20</v>
      </c>
      <c r="H635" t="s">
        <v>347</v>
      </c>
      <c r="I635" s="4">
        <v>6775.28</v>
      </c>
      <c r="J635">
        <v>8</v>
      </c>
      <c r="K635" s="2">
        <v>0.05</v>
      </c>
      <c r="L635" s="4">
        <v>2213.81</v>
      </c>
      <c r="M635" t="s">
        <v>195</v>
      </c>
      <c r="N635" t="s">
        <v>23</v>
      </c>
      <c r="O635">
        <f>YEAR(Table1[[#This Row],[Order Date]])</f>
        <v>2025</v>
      </c>
      <c r="P635" t="str">
        <f>TEXT(Table1[[#This Row],[Order Date]],"mmmm")</f>
        <v>December</v>
      </c>
      <c r="Q635" t="str">
        <f>TEXT(Table1[[#This Row],[Order Date]],"mm")</f>
        <v>12</v>
      </c>
      <c r="R635" s="2">
        <f>Table1[[#This Row],[Profit]]/Table1[[#This Row],[Sales]]</f>
        <v>0.32674811963490807</v>
      </c>
      <c r="S635" t="str">
        <f t="shared" si="9"/>
        <v>Low (1-10%)</v>
      </c>
    </row>
    <row r="636" spans="1:19" x14ac:dyDescent="0.2">
      <c r="A636" t="s">
        <v>1331</v>
      </c>
      <c r="B636" s="3" t="s">
        <v>627</v>
      </c>
      <c r="C636" t="s">
        <v>1088</v>
      </c>
      <c r="D636" t="s">
        <v>137</v>
      </c>
      <c r="E636" t="s">
        <v>242</v>
      </c>
      <c r="F636" t="s">
        <v>67</v>
      </c>
      <c r="G636" t="s">
        <v>115</v>
      </c>
      <c r="H636" t="s">
        <v>116</v>
      </c>
      <c r="I636" s="4">
        <v>11325.1</v>
      </c>
      <c r="J636">
        <v>10</v>
      </c>
      <c r="K636" s="2">
        <v>0.25</v>
      </c>
      <c r="L636" s="4">
        <v>775.22</v>
      </c>
      <c r="M636" t="s">
        <v>22</v>
      </c>
      <c r="N636" t="s">
        <v>32</v>
      </c>
      <c r="O636">
        <f>YEAR(Table1[[#This Row],[Order Date]])</f>
        <v>2025</v>
      </c>
      <c r="P636" t="str">
        <f>TEXT(Table1[[#This Row],[Order Date]],"mmmm")</f>
        <v>June</v>
      </c>
      <c r="Q636" t="str">
        <f>TEXT(Table1[[#This Row],[Order Date]],"mm")</f>
        <v>06</v>
      </c>
      <c r="R636" s="2">
        <f>Table1[[#This Row],[Profit]]/Table1[[#This Row],[Sales]]</f>
        <v>6.8451492702051198E-2</v>
      </c>
      <c r="S636" t="str">
        <f t="shared" si="9"/>
        <v>High (21-30%)</v>
      </c>
    </row>
    <row r="637" spans="1:19" x14ac:dyDescent="0.2">
      <c r="A637" t="s">
        <v>1332</v>
      </c>
      <c r="B637" s="3" t="s">
        <v>329</v>
      </c>
      <c r="C637" t="s">
        <v>225</v>
      </c>
      <c r="D637" t="s">
        <v>137</v>
      </c>
      <c r="E637" t="s">
        <v>142</v>
      </c>
      <c r="F637" t="s">
        <v>19</v>
      </c>
      <c r="G637" t="s">
        <v>20</v>
      </c>
      <c r="H637" t="s">
        <v>239</v>
      </c>
      <c r="I637" s="4">
        <v>4778.3599999999997</v>
      </c>
      <c r="J637">
        <v>4</v>
      </c>
      <c r="K637" s="2">
        <v>0.25</v>
      </c>
      <c r="L637" s="4">
        <v>939.71</v>
      </c>
      <c r="M637" t="s">
        <v>117</v>
      </c>
      <c r="N637" t="s">
        <v>39</v>
      </c>
      <c r="O637">
        <f>YEAR(Table1[[#This Row],[Order Date]])</f>
        <v>2024</v>
      </c>
      <c r="P637" t="str">
        <f>TEXT(Table1[[#This Row],[Order Date]],"mmmm")</f>
        <v>December</v>
      </c>
      <c r="Q637" t="str">
        <f>TEXT(Table1[[#This Row],[Order Date]],"mm")</f>
        <v>12</v>
      </c>
      <c r="R637" s="2">
        <f>Table1[[#This Row],[Profit]]/Table1[[#This Row],[Sales]]</f>
        <v>0.19665952335110792</v>
      </c>
      <c r="S637" t="str">
        <f t="shared" si="9"/>
        <v>High (21-30%)</v>
      </c>
    </row>
    <row r="638" spans="1:19" x14ac:dyDescent="0.2">
      <c r="A638" t="s">
        <v>1333</v>
      </c>
      <c r="B638" s="3" t="s">
        <v>1334</v>
      </c>
      <c r="C638" t="s">
        <v>96</v>
      </c>
      <c r="D638" t="s">
        <v>137</v>
      </c>
      <c r="E638" t="s">
        <v>138</v>
      </c>
      <c r="F638" t="s">
        <v>19</v>
      </c>
      <c r="G638" t="s">
        <v>36</v>
      </c>
      <c r="H638" t="s">
        <v>111</v>
      </c>
      <c r="I638" s="4">
        <v>3493.44</v>
      </c>
      <c r="J638">
        <v>3</v>
      </c>
      <c r="K638" s="2">
        <v>0.25</v>
      </c>
      <c r="L638" s="4">
        <v>-384.47</v>
      </c>
      <c r="M638" t="s">
        <v>87</v>
      </c>
      <c r="N638" t="s">
        <v>39</v>
      </c>
      <c r="O638">
        <f>YEAR(Table1[[#This Row],[Order Date]])</f>
        <v>2024</v>
      </c>
      <c r="P638" t="str">
        <f>TEXT(Table1[[#This Row],[Order Date]],"mmmm")</f>
        <v>December</v>
      </c>
      <c r="Q638" t="str">
        <f>TEXT(Table1[[#This Row],[Order Date]],"mm")</f>
        <v>12</v>
      </c>
      <c r="R638" s="2">
        <f>Table1[[#This Row],[Profit]]/Table1[[#This Row],[Sales]]</f>
        <v>-0.11005484565356784</v>
      </c>
      <c r="S638" t="str">
        <f t="shared" si="9"/>
        <v>High (21-30%)</v>
      </c>
    </row>
    <row r="639" spans="1:19" x14ac:dyDescent="0.2">
      <c r="A639" t="s">
        <v>1335</v>
      </c>
      <c r="B639" s="3" t="s">
        <v>497</v>
      </c>
      <c r="C639" t="s">
        <v>818</v>
      </c>
      <c r="D639" t="s">
        <v>137</v>
      </c>
      <c r="E639" t="s">
        <v>138</v>
      </c>
      <c r="F639" t="s">
        <v>19</v>
      </c>
      <c r="G639" t="s">
        <v>36</v>
      </c>
      <c r="H639" t="s">
        <v>222</v>
      </c>
      <c r="I639" s="4">
        <v>528.78</v>
      </c>
      <c r="J639">
        <v>3</v>
      </c>
      <c r="K639" s="2">
        <v>0.2</v>
      </c>
      <c r="L639" s="4">
        <v>77.349999999999994</v>
      </c>
      <c r="M639" t="s">
        <v>44</v>
      </c>
      <c r="N639" t="s">
        <v>76</v>
      </c>
      <c r="O639">
        <f>YEAR(Table1[[#This Row],[Order Date]])</f>
        <v>2025</v>
      </c>
      <c r="P639" t="str">
        <f>TEXT(Table1[[#This Row],[Order Date]],"mmmm")</f>
        <v>December</v>
      </c>
      <c r="Q639" t="str">
        <f>TEXT(Table1[[#This Row],[Order Date]],"mm")</f>
        <v>12</v>
      </c>
      <c r="R639" s="2">
        <f>Table1[[#This Row],[Profit]]/Table1[[#This Row],[Sales]]</f>
        <v>0.1462801164945724</v>
      </c>
      <c r="S639" t="str">
        <f t="shared" si="9"/>
        <v>Medium (11-20%)</v>
      </c>
    </row>
    <row r="640" spans="1:19" x14ac:dyDescent="0.2">
      <c r="A640" t="s">
        <v>1336</v>
      </c>
      <c r="B640" s="3" t="s">
        <v>1337</v>
      </c>
      <c r="C640" t="s">
        <v>157</v>
      </c>
      <c r="D640" t="s">
        <v>27</v>
      </c>
      <c r="E640" t="s">
        <v>28</v>
      </c>
      <c r="F640" t="s">
        <v>67</v>
      </c>
      <c r="G640" t="s">
        <v>85</v>
      </c>
      <c r="H640" t="s">
        <v>125</v>
      </c>
      <c r="I640" s="4">
        <v>5847.8</v>
      </c>
      <c r="J640">
        <v>5</v>
      </c>
      <c r="K640" s="2">
        <v>0.1</v>
      </c>
      <c r="L640" s="4">
        <v>1776.8</v>
      </c>
      <c r="M640" t="s">
        <v>87</v>
      </c>
      <c r="N640" t="s">
        <v>39</v>
      </c>
      <c r="O640">
        <f>YEAR(Table1[[#This Row],[Order Date]])</f>
        <v>2024</v>
      </c>
      <c r="P640" t="str">
        <f>TEXT(Table1[[#This Row],[Order Date]],"mmmm")</f>
        <v>May</v>
      </c>
      <c r="Q640" t="str">
        <f>TEXT(Table1[[#This Row],[Order Date]],"mm")</f>
        <v>05</v>
      </c>
      <c r="R640" s="2">
        <f>Table1[[#This Row],[Profit]]/Table1[[#This Row],[Sales]]</f>
        <v>0.30384076062792842</v>
      </c>
      <c r="S640" t="str">
        <f t="shared" si="9"/>
        <v>Low (1-10%)</v>
      </c>
    </row>
    <row r="641" spans="1:19" x14ac:dyDescent="0.2">
      <c r="A641" t="s">
        <v>1338</v>
      </c>
      <c r="B641" s="3" t="s">
        <v>1339</v>
      </c>
      <c r="C641" t="s">
        <v>630</v>
      </c>
      <c r="D641" t="s">
        <v>17</v>
      </c>
      <c r="E641" t="s">
        <v>18</v>
      </c>
      <c r="F641" t="s">
        <v>55</v>
      </c>
      <c r="G641" t="s">
        <v>98</v>
      </c>
      <c r="H641" t="s">
        <v>99</v>
      </c>
      <c r="I641" s="4">
        <v>3363.81</v>
      </c>
      <c r="J641">
        <v>3</v>
      </c>
      <c r="K641" s="2">
        <v>0.25</v>
      </c>
      <c r="L641" s="4">
        <v>500.79</v>
      </c>
      <c r="M641" t="s">
        <v>63</v>
      </c>
      <c r="N641" t="s">
        <v>39</v>
      </c>
      <c r="O641">
        <f>YEAR(Table1[[#This Row],[Order Date]])</f>
        <v>2025</v>
      </c>
      <c r="P641" t="str">
        <f>TEXT(Table1[[#This Row],[Order Date]],"mmmm")</f>
        <v>April</v>
      </c>
      <c r="Q641" t="str">
        <f>TEXT(Table1[[#This Row],[Order Date]],"mm")</f>
        <v>04</v>
      </c>
      <c r="R641" s="2">
        <f>Table1[[#This Row],[Profit]]/Table1[[#This Row],[Sales]]</f>
        <v>0.14887582830183632</v>
      </c>
      <c r="S641" t="str">
        <f t="shared" si="9"/>
        <v>High (21-30%)</v>
      </c>
    </row>
    <row r="642" spans="1:19" x14ac:dyDescent="0.2">
      <c r="A642" t="s">
        <v>1340</v>
      </c>
      <c r="B642" s="3" t="s">
        <v>1341</v>
      </c>
      <c r="C642" t="s">
        <v>439</v>
      </c>
      <c r="D642" t="s">
        <v>17</v>
      </c>
      <c r="E642" t="s">
        <v>18</v>
      </c>
      <c r="F642" t="s">
        <v>67</v>
      </c>
      <c r="G642" t="s">
        <v>85</v>
      </c>
      <c r="H642" t="s">
        <v>125</v>
      </c>
      <c r="I642" s="4">
        <v>6961.52</v>
      </c>
      <c r="J642">
        <v>8</v>
      </c>
      <c r="K642" s="2">
        <v>0.15</v>
      </c>
      <c r="L642" s="4">
        <v>2065.69</v>
      </c>
      <c r="M642" t="s">
        <v>87</v>
      </c>
      <c r="N642" t="s">
        <v>23</v>
      </c>
      <c r="O642">
        <f>YEAR(Table1[[#This Row],[Order Date]])</f>
        <v>2025</v>
      </c>
      <c r="P642" t="str">
        <f>TEXT(Table1[[#This Row],[Order Date]],"mmmm")</f>
        <v>August</v>
      </c>
      <c r="Q642" t="str">
        <f>TEXT(Table1[[#This Row],[Order Date]],"mm")</f>
        <v>08</v>
      </c>
      <c r="R642" s="2">
        <f>Table1[[#This Row],[Profit]]/Table1[[#This Row],[Sales]]</f>
        <v>0.29672973718383339</v>
      </c>
      <c r="S642" t="str">
        <f t="shared" ref="S642:S705" si="10">IF(K642=0,"No Discount",
IF(K642&lt;=0.1,"Low (1-10%)",
IF(K642&lt;=0.2,"Medium (11-20%)",
IF(K642&lt;=0.3,"High (21-30%)","Very High (&gt;30%)"))))</f>
        <v>Medium (11-20%)</v>
      </c>
    </row>
    <row r="643" spans="1:19" x14ac:dyDescent="0.2">
      <c r="A643" t="s">
        <v>1342</v>
      </c>
      <c r="B643" s="3" t="s">
        <v>632</v>
      </c>
      <c r="C643" t="s">
        <v>1343</v>
      </c>
      <c r="D643" t="s">
        <v>48</v>
      </c>
      <c r="E643" t="s">
        <v>49</v>
      </c>
      <c r="F643" t="s">
        <v>67</v>
      </c>
      <c r="G643" t="s">
        <v>68</v>
      </c>
      <c r="H643" t="s">
        <v>103</v>
      </c>
      <c r="I643" s="4">
        <v>10626.6</v>
      </c>
      <c r="J643">
        <v>10</v>
      </c>
      <c r="K643" s="2">
        <v>0.3</v>
      </c>
      <c r="L643" s="4">
        <v>-297.55</v>
      </c>
      <c r="M643" t="s">
        <v>143</v>
      </c>
      <c r="N643" t="s">
        <v>39</v>
      </c>
      <c r="O643">
        <f>YEAR(Table1[[#This Row],[Order Date]])</f>
        <v>2025</v>
      </c>
      <c r="P643" t="str">
        <f>TEXT(Table1[[#This Row],[Order Date]],"mmmm")</f>
        <v>April</v>
      </c>
      <c r="Q643" t="str">
        <f>TEXT(Table1[[#This Row],[Order Date]],"mm")</f>
        <v>04</v>
      </c>
      <c r="R643" s="2">
        <f>Table1[[#This Row],[Profit]]/Table1[[#This Row],[Sales]]</f>
        <v>-2.800048933807615E-2</v>
      </c>
      <c r="S643" t="str">
        <f t="shared" si="10"/>
        <v>High (21-30%)</v>
      </c>
    </row>
    <row r="644" spans="1:19" x14ac:dyDescent="0.2">
      <c r="A644" t="s">
        <v>1344</v>
      </c>
      <c r="B644" s="3" t="s">
        <v>521</v>
      </c>
      <c r="C644" t="s">
        <v>132</v>
      </c>
      <c r="D644" t="s">
        <v>27</v>
      </c>
      <c r="E644" t="s">
        <v>43</v>
      </c>
      <c r="F644" t="s">
        <v>67</v>
      </c>
      <c r="G644" t="s">
        <v>85</v>
      </c>
      <c r="H644" t="s">
        <v>253</v>
      </c>
      <c r="I644" s="4">
        <v>2613.48</v>
      </c>
      <c r="J644">
        <v>3</v>
      </c>
      <c r="K644" s="2">
        <v>0.1</v>
      </c>
      <c r="L644" s="4">
        <v>245.82</v>
      </c>
      <c r="M644" t="s">
        <v>107</v>
      </c>
      <c r="N644" t="s">
        <v>76</v>
      </c>
      <c r="O644">
        <f>YEAR(Table1[[#This Row],[Order Date]])</f>
        <v>2024</v>
      </c>
      <c r="P644" t="str">
        <f>TEXT(Table1[[#This Row],[Order Date]],"mmmm")</f>
        <v>March</v>
      </c>
      <c r="Q644" t="str">
        <f>TEXT(Table1[[#This Row],[Order Date]],"mm")</f>
        <v>03</v>
      </c>
      <c r="R644" s="2">
        <f>Table1[[#This Row],[Profit]]/Table1[[#This Row],[Sales]]</f>
        <v>9.4058496717020976E-2</v>
      </c>
      <c r="S644" t="str">
        <f t="shared" si="10"/>
        <v>Low (1-10%)</v>
      </c>
    </row>
    <row r="645" spans="1:19" x14ac:dyDescent="0.2">
      <c r="A645" t="s">
        <v>1345</v>
      </c>
      <c r="B645" s="3" t="s">
        <v>1346</v>
      </c>
      <c r="C645" t="s">
        <v>42</v>
      </c>
      <c r="D645" t="s">
        <v>17</v>
      </c>
      <c r="E645" t="s">
        <v>80</v>
      </c>
      <c r="F645" t="s">
        <v>67</v>
      </c>
      <c r="G645" t="s">
        <v>68</v>
      </c>
      <c r="H645" t="s">
        <v>382</v>
      </c>
      <c r="I645" s="4">
        <v>892.48</v>
      </c>
      <c r="J645">
        <v>2</v>
      </c>
      <c r="K645" s="2">
        <v>0.05</v>
      </c>
      <c r="L645" s="4">
        <v>120.83</v>
      </c>
      <c r="M645" t="s">
        <v>87</v>
      </c>
      <c r="N645" t="s">
        <v>32</v>
      </c>
      <c r="O645">
        <f>YEAR(Table1[[#This Row],[Order Date]])</f>
        <v>2024</v>
      </c>
      <c r="P645" t="str">
        <f>TEXT(Table1[[#This Row],[Order Date]],"mmmm")</f>
        <v>October</v>
      </c>
      <c r="Q645" t="str">
        <f>TEXT(Table1[[#This Row],[Order Date]],"mm")</f>
        <v>10</v>
      </c>
      <c r="R645" s="2">
        <f>Table1[[#This Row],[Profit]]/Table1[[#This Row],[Sales]]</f>
        <v>0.13538678737898888</v>
      </c>
      <c r="S645" t="str">
        <f t="shared" si="10"/>
        <v>Low (1-10%)</v>
      </c>
    </row>
    <row r="646" spans="1:19" x14ac:dyDescent="0.2">
      <c r="A646" t="s">
        <v>1347</v>
      </c>
      <c r="B646" s="3" t="s">
        <v>1348</v>
      </c>
      <c r="C646" t="s">
        <v>543</v>
      </c>
      <c r="D646" t="s">
        <v>137</v>
      </c>
      <c r="E646" t="s">
        <v>242</v>
      </c>
      <c r="F646" t="s">
        <v>19</v>
      </c>
      <c r="G646" t="s">
        <v>20</v>
      </c>
      <c r="H646" t="s">
        <v>21</v>
      </c>
      <c r="I646" s="4">
        <v>3232.2</v>
      </c>
      <c r="J646">
        <v>3</v>
      </c>
      <c r="K646" s="2">
        <v>0.05</v>
      </c>
      <c r="L646" s="4">
        <v>844.98</v>
      </c>
      <c r="M646" t="s">
        <v>22</v>
      </c>
      <c r="N646" t="s">
        <v>23</v>
      </c>
      <c r="O646">
        <f>YEAR(Table1[[#This Row],[Order Date]])</f>
        <v>2024</v>
      </c>
      <c r="P646" t="str">
        <f>TEXT(Table1[[#This Row],[Order Date]],"mmmm")</f>
        <v>July</v>
      </c>
      <c r="Q646" t="str">
        <f>TEXT(Table1[[#This Row],[Order Date]],"mm")</f>
        <v>07</v>
      </c>
      <c r="R646" s="2">
        <f>Table1[[#This Row],[Profit]]/Table1[[#This Row],[Sales]]</f>
        <v>0.26142565435307225</v>
      </c>
      <c r="S646" t="str">
        <f t="shared" si="10"/>
        <v>Low (1-10%)</v>
      </c>
    </row>
    <row r="647" spans="1:19" x14ac:dyDescent="0.2">
      <c r="A647" t="s">
        <v>1349</v>
      </c>
      <c r="B647" s="3" t="s">
        <v>270</v>
      </c>
      <c r="C647" t="s">
        <v>218</v>
      </c>
      <c r="D647" t="s">
        <v>17</v>
      </c>
      <c r="E647" t="s">
        <v>80</v>
      </c>
      <c r="F647" t="s">
        <v>55</v>
      </c>
      <c r="G647" t="s">
        <v>74</v>
      </c>
      <c r="H647" t="s">
        <v>272</v>
      </c>
      <c r="I647" s="4">
        <v>2752.44</v>
      </c>
      <c r="J647">
        <v>4</v>
      </c>
      <c r="K647" s="2">
        <v>0.15</v>
      </c>
      <c r="L647" s="4">
        <v>-271.36</v>
      </c>
      <c r="M647" t="s">
        <v>107</v>
      </c>
      <c r="N647" t="s">
        <v>76</v>
      </c>
      <c r="O647">
        <f>YEAR(Table1[[#This Row],[Order Date]])</f>
        <v>2025</v>
      </c>
      <c r="P647" t="str">
        <f>TEXT(Table1[[#This Row],[Order Date]],"mmmm")</f>
        <v>February</v>
      </c>
      <c r="Q647" t="str">
        <f>TEXT(Table1[[#This Row],[Order Date]],"mm")</f>
        <v>02</v>
      </c>
      <c r="R647" s="2">
        <f>Table1[[#This Row],[Profit]]/Table1[[#This Row],[Sales]]</f>
        <v>-9.8588888404470221E-2</v>
      </c>
      <c r="S647" t="str">
        <f t="shared" si="10"/>
        <v>Medium (11-20%)</v>
      </c>
    </row>
    <row r="648" spans="1:19" x14ac:dyDescent="0.2">
      <c r="A648" t="s">
        <v>1350</v>
      </c>
      <c r="B648" s="3" t="s">
        <v>1351</v>
      </c>
      <c r="C648" t="s">
        <v>1010</v>
      </c>
      <c r="D648" t="s">
        <v>48</v>
      </c>
      <c r="E648" t="s">
        <v>73</v>
      </c>
      <c r="F648" t="s">
        <v>19</v>
      </c>
      <c r="G648" t="s">
        <v>36</v>
      </c>
      <c r="H648" t="s">
        <v>111</v>
      </c>
      <c r="I648" s="4">
        <v>7049.34</v>
      </c>
      <c r="J648">
        <v>6</v>
      </c>
      <c r="K648" s="2">
        <v>0.2</v>
      </c>
      <c r="L648" s="4">
        <v>1539.25</v>
      </c>
      <c r="M648" t="s">
        <v>31</v>
      </c>
      <c r="N648" t="s">
        <v>39</v>
      </c>
      <c r="O648">
        <f>YEAR(Table1[[#This Row],[Order Date]])</f>
        <v>2024</v>
      </c>
      <c r="P648" t="str">
        <f>TEXT(Table1[[#This Row],[Order Date]],"mmmm")</f>
        <v>August</v>
      </c>
      <c r="Q648" t="str">
        <f>TEXT(Table1[[#This Row],[Order Date]],"mm")</f>
        <v>08</v>
      </c>
      <c r="R648" s="2">
        <f>Table1[[#This Row],[Profit]]/Table1[[#This Row],[Sales]]</f>
        <v>0.21835377496332989</v>
      </c>
      <c r="S648" t="str">
        <f t="shared" si="10"/>
        <v>Medium (11-20%)</v>
      </c>
    </row>
    <row r="649" spans="1:19" x14ac:dyDescent="0.2">
      <c r="A649" t="s">
        <v>1352</v>
      </c>
      <c r="B649" s="3" t="s">
        <v>1353</v>
      </c>
      <c r="C649" t="s">
        <v>1354</v>
      </c>
      <c r="D649" t="s">
        <v>17</v>
      </c>
      <c r="E649" t="s">
        <v>18</v>
      </c>
      <c r="F649" t="s">
        <v>19</v>
      </c>
      <c r="G649" t="s">
        <v>29</v>
      </c>
      <c r="H649" t="s">
        <v>30</v>
      </c>
      <c r="I649" s="4">
        <v>3526.02</v>
      </c>
      <c r="J649">
        <v>9</v>
      </c>
      <c r="K649" s="2">
        <v>0.2</v>
      </c>
      <c r="L649" s="4">
        <v>236.86</v>
      </c>
      <c r="M649" t="s">
        <v>117</v>
      </c>
      <c r="N649" t="s">
        <v>76</v>
      </c>
      <c r="O649">
        <f>YEAR(Table1[[#This Row],[Order Date]])</f>
        <v>2025</v>
      </c>
      <c r="P649" t="str">
        <f>TEXT(Table1[[#This Row],[Order Date]],"mmmm")</f>
        <v>February</v>
      </c>
      <c r="Q649" t="str">
        <f>TEXT(Table1[[#This Row],[Order Date]],"mm")</f>
        <v>02</v>
      </c>
      <c r="R649" s="2">
        <f>Table1[[#This Row],[Profit]]/Table1[[#This Row],[Sales]]</f>
        <v>6.7174888401086777E-2</v>
      </c>
      <c r="S649" t="str">
        <f t="shared" si="10"/>
        <v>Medium (11-20%)</v>
      </c>
    </row>
    <row r="650" spans="1:19" x14ac:dyDescent="0.2">
      <c r="A650" t="s">
        <v>1355</v>
      </c>
      <c r="B650" s="3" t="s">
        <v>590</v>
      </c>
      <c r="C650" t="s">
        <v>311</v>
      </c>
      <c r="D650" t="s">
        <v>27</v>
      </c>
      <c r="E650" t="s">
        <v>28</v>
      </c>
      <c r="F650" t="s">
        <v>55</v>
      </c>
      <c r="G650" t="s">
        <v>74</v>
      </c>
      <c r="H650" t="s">
        <v>272</v>
      </c>
      <c r="I650" s="4">
        <v>260.01</v>
      </c>
      <c r="J650">
        <v>9</v>
      </c>
      <c r="K650" s="2">
        <v>0</v>
      </c>
      <c r="L650" s="4">
        <v>68.900000000000006</v>
      </c>
      <c r="M650" t="s">
        <v>107</v>
      </c>
      <c r="N650" t="s">
        <v>39</v>
      </c>
      <c r="O650">
        <f>YEAR(Table1[[#This Row],[Order Date]])</f>
        <v>2024</v>
      </c>
      <c r="P650" t="str">
        <f>TEXT(Table1[[#This Row],[Order Date]],"mmmm")</f>
        <v>July</v>
      </c>
      <c r="Q650" t="str">
        <f>TEXT(Table1[[#This Row],[Order Date]],"mm")</f>
        <v>07</v>
      </c>
      <c r="R650" s="2">
        <f>Table1[[#This Row],[Profit]]/Table1[[#This Row],[Sales]]</f>
        <v>0.2649898080843045</v>
      </c>
      <c r="S650" t="str">
        <f t="shared" si="10"/>
        <v>No Discount</v>
      </c>
    </row>
    <row r="651" spans="1:19" x14ac:dyDescent="0.2">
      <c r="A651" t="s">
        <v>1356</v>
      </c>
      <c r="B651" s="3" t="s">
        <v>590</v>
      </c>
      <c r="C651" t="s">
        <v>871</v>
      </c>
      <c r="D651" t="s">
        <v>17</v>
      </c>
      <c r="E651" t="s">
        <v>18</v>
      </c>
      <c r="F651" t="s">
        <v>55</v>
      </c>
      <c r="G651" t="s">
        <v>56</v>
      </c>
      <c r="H651" t="s">
        <v>129</v>
      </c>
      <c r="I651" s="4">
        <v>817.08</v>
      </c>
      <c r="J651">
        <v>4</v>
      </c>
      <c r="K651" s="2">
        <v>0.2</v>
      </c>
      <c r="L651" s="4">
        <v>-106.36</v>
      </c>
      <c r="M651" t="s">
        <v>31</v>
      </c>
      <c r="N651" t="s">
        <v>32</v>
      </c>
      <c r="O651">
        <f>YEAR(Table1[[#This Row],[Order Date]])</f>
        <v>2024</v>
      </c>
      <c r="P651" t="str">
        <f>TEXT(Table1[[#This Row],[Order Date]],"mmmm")</f>
        <v>July</v>
      </c>
      <c r="Q651" t="str">
        <f>TEXT(Table1[[#This Row],[Order Date]],"mm")</f>
        <v>07</v>
      </c>
      <c r="R651" s="2">
        <f>Table1[[#This Row],[Profit]]/Table1[[#This Row],[Sales]]</f>
        <v>-0.13017085230332404</v>
      </c>
      <c r="S651" t="str">
        <f t="shared" si="10"/>
        <v>Medium (11-20%)</v>
      </c>
    </row>
    <row r="652" spans="1:19" x14ac:dyDescent="0.2">
      <c r="A652" t="s">
        <v>1357</v>
      </c>
      <c r="B652" s="3" t="s">
        <v>1358</v>
      </c>
      <c r="C652" t="s">
        <v>1294</v>
      </c>
      <c r="D652" t="s">
        <v>137</v>
      </c>
      <c r="E652" t="s">
        <v>138</v>
      </c>
      <c r="F652" t="s">
        <v>19</v>
      </c>
      <c r="G652" t="s">
        <v>20</v>
      </c>
      <c r="H652" t="s">
        <v>239</v>
      </c>
      <c r="I652" s="4">
        <v>5958.7</v>
      </c>
      <c r="J652">
        <v>5</v>
      </c>
      <c r="K652" s="2">
        <v>0</v>
      </c>
      <c r="L652" s="4">
        <v>1683.94</v>
      </c>
      <c r="M652" t="s">
        <v>117</v>
      </c>
      <c r="N652" t="s">
        <v>23</v>
      </c>
      <c r="O652">
        <f>YEAR(Table1[[#This Row],[Order Date]])</f>
        <v>2024</v>
      </c>
      <c r="P652" t="str">
        <f>TEXT(Table1[[#This Row],[Order Date]],"mmmm")</f>
        <v>July</v>
      </c>
      <c r="Q652" t="str">
        <f>TEXT(Table1[[#This Row],[Order Date]],"mm")</f>
        <v>07</v>
      </c>
      <c r="R652" s="2">
        <f>Table1[[#This Row],[Profit]]/Table1[[#This Row],[Sales]]</f>
        <v>0.28260190981254302</v>
      </c>
      <c r="S652" t="str">
        <f t="shared" si="10"/>
        <v>No Discount</v>
      </c>
    </row>
    <row r="653" spans="1:19" x14ac:dyDescent="0.2">
      <c r="A653" t="s">
        <v>1359</v>
      </c>
      <c r="B653" s="3" t="s">
        <v>924</v>
      </c>
      <c r="C653" t="s">
        <v>411</v>
      </c>
      <c r="D653" t="s">
        <v>17</v>
      </c>
      <c r="E653" t="s">
        <v>54</v>
      </c>
      <c r="F653" t="s">
        <v>55</v>
      </c>
      <c r="G653" t="s">
        <v>74</v>
      </c>
      <c r="H653" t="s">
        <v>272</v>
      </c>
      <c r="I653" s="4">
        <v>4756.8</v>
      </c>
      <c r="J653">
        <v>10</v>
      </c>
      <c r="K653" s="2">
        <v>0.05</v>
      </c>
      <c r="L653" s="4">
        <v>1652.38</v>
      </c>
      <c r="M653" t="s">
        <v>44</v>
      </c>
      <c r="N653" t="s">
        <v>76</v>
      </c>
      <c r="O653">
        <f>YEAR(Table1[[#This Row],[Order Date]])</f>
        <v>2025</v>
      </c>
      <c r="P653" t="str">
        <f>TEXT(Table1[[#This Row],[Order Date]],"mmmm")</f>
        <v>November</v>
      </c>
      <c r="Q653" t="str">
        <f>TEXT(Table1[[#This Row],[Order Date]],"mm")</f>
        <v>11</v>
      </c>
      <c r="R653" s="2">
        <f>Table1[[#This Row],[Profit]]/Table1[[#This Row],[Sales]]</f>
        <v>0.34737218298015471</v>
      </c>
      <c r="S653" t="str">
        <f t="shared" si="10"/>
        <v>Low (1-10%)</v>
      </c>
    </row>
    <row r="654" spans="1:19" x14ac:dyDescent="0.2">
      <c r="A654" t="s">
        <v>1360</v>
      </c>
      <c r="B654" s="3" t="s">
        <v>1361</v>
      </c>
      <c r="C654" t="s">
        <v>857</v>
      </c>
      <c r="D654" t="s">
        <v>17</v>
      </c>
      <c r="E654" t="s">
        <v>80</v>
      </c>
      <c r="F654" t="s">
        <v>19</v>
      </c>
      <c r="G654" t="s">
        <v>20</v>
      </c>
      <c r="H654" t="s">
        <v>21</v>
      </c>
      <c r="I654" s="4">
        <v>2476.1999999999998</v>
      </c>
      <c r="J654">
        <v>4</v>
      </c>
      <c r="K654" s="2">
        <v>0.15</v>
      </c>
      <c r="L654" s="4">
        <v>508.1</v>
      </c>
      <c r="M654" t="s">
        <v>195</v>
      </c>
      <c r="N654" t="s">
        <v>32</v>
      </c>
      <c r="O654">
        <f>YEAR(Table1[[#This Row],[Order Date]])</f>
        <v>2025</v>
      </c>
      <c r="P654" t="str">
        <f>TEXT(Table1[[#This Row],[Order Date]],"mmmm")</f>
        <v>April</v>
      </c>
      <c r="Q654" t="str">
        <f>TEXT(Table1[[#This Row],[Order Date]],"mm")</f>
        <v>04</v>
      </c>
      <c r="R654" s="2">
        <f>Table1[[#This Row],[Profit]]/Table1[[#This Row],[Sales]]</f>
        <v>0.20519344156368632</v>
      </c>
      <c r="S654" t="str">
        <f t="shared" si="10"/>
        <v>Medium (11-20%)</v>
      </c>
    </row>
    <row r="655" spans="1:19" x14ac:dyDescent="0.2">
      <c r="A655" t="s">
        <v>1362</v>
      </c>
      <c r="B655" s="3" t="s">
        <v>1363</v>
      </c>
      <c r="C655" t="s">
        <v>601</v>
      </c>
      <c r="D655" t="s">
        <v>137</v>
      </c>
      <c r="E655" t="s">
        <v>242</v>
      </c>
      <c r="F655" t="s">
        <v>55</v>
      </c>
      <c r="G655" t="s">
        <v>74</v>
      </c>
      <c r="H655" t="s">
        <v>272</v>
      </c>
      <c r="I655" s="4">
        <v>8951.1299999999992</v>
      </c>
      <c r="J655">
        <v>9</v>
      </c>
      <c r="K655" s="2">
        <v>0.2</v>
      </c>
      <c r="L655" s="4">
        <v>1737.78</v>
      </c>
      <c r="M655" t="s">
        <v>195</v>
      </c>
      <c r="N655" t="s">
        <v>39</v>
      </c>
      <c r="O655">
        <f>YEAR(Table1[[#This Row],[Order Date]])</f>
        <v>2025</v>
      </c>
      <c r="P655" t="str">
        <f>TEXT(Table1[[#This Row],[Order Date]],"mmmm")</f>
        <v>January</v>
      </c>
      <c r="Q655" t="str">
        <f>TEXT(Table1[[#This Row],[Order Date]],"mm")</f>
        <v>01</v>
      </c>
      <c r="R655" s="2">
        <f>Table1[[#This Row],[Profit]]/Table1[[#This Row],[Sales]]</f>
        <v>0.19414085149025878</v>
      </c>
      <c r="S655" t="str">
        <f t="shared" si="10"/>
        <v>Medium (11-20%)</v>
      </c>
    </row>
    <row r="656" spans="1:19" x14ac:dyDescent="0.2">
      <c r="A656" t="s">
        <v>1364</v>
      </c>
      <c r="B656" s="3" t="s">
        <v>629</v>
      </c>
      <c r="C656" t="s">
        <v>262</v>
      </c>
      <c r="D656" t="s">
        <v>48</v>
      </c>
      <c r="E656" t="s">
        <v>49</v>
      </c>
      <c r="F656" t="s">
        <v>55</v>
      </c>
      <c r="G656" t="s">
        <v>56</v>
      </c>
      <c r="H656" t="s">
        <v>62</v>
      </c>
      <c r="I656" s="4">
        <v>6868.98</v>
      </c>
      <c r="J656">
        <v>6</v>
      </c>
      <c r="K656" s="2">
        <v>0.1</v>
      </c>
      <c r="L656" s="4">
        <v>1645.73</v>
      </c>
      <c r="M656" t="s">
        <v>44</v>
      </c>
      <c r="N656" t="s">
        <v>76</v>
      </c>
      <c r="O656">
        <f>YEAR(Table1[[#This Row],[Order Date]])</f>
        <v>2024</v>
      </c>
      <c r="P656" t="str">
        <f>TEXT(Table1[[#This Row],[Order Date]],"mmmm")</f>
        <v>September</v>
      </c>
      <c r="Q656" t="str">
        <f>TEXT(Table1[[#This Row],[Order Date]],"mm")</f>
        <v>09</v>
      </c>
      <c r="R656" s="2">
        <f>Table1[[#This Row],[Profit]]/Table1[[#This Row],[Sales]]</f>
        <v>0.23958870167040813</v>
      </c>
      <c r="S656" t="str">
        <f t="shared" si="10"/>
        <v>Low (1-10%)</v>
      </c>
    </row>
    <row r="657" spans="1:19" x14ac:dyDescent="0.2">
      <c r="A657" t="s">
        <v>1365</v>
      </c>
      <c r="B657" s="3" t="s">
        <v>736</v>
      </c>
      <c r="C657" t="s">
        <v>797</v>
      </c>
      <c r="D657" t="s">
        <v>137</v>
      </c>
      <c r="E657" t="s">
        <v>142</v>
      </c>
      <c r="F657" t="s">
        <v>55</v>
      </c>
      <c r="G657" t="s">
        <v>74</v>
      </c>
      <c r="H657" t="s">
        <v>272</v>
      </c>
      <c r="I657" s="4">
        <v>788.48</v>
      </c>
      <c r="J657">
        <v>2</v>
      </c>
      <c r="K657" s="2">
        <v>0.05</v>
      </c>
      <c r="L657" s="4">
        <v>241.47</v>
      </c>
      <c r="M657" t="s">
        <v>31</v>
      </c>
      <c r="N657" t="s">
        <v>32</v>
      </c>
      <c r="O657">
        <f>YEAR(Table1[[#This Row],[Order Date]])</f>
        <v>2024</v>
      </c>
      <c r="P657" t="str">
        <f>TEXT(Table1[[#This Row],[Order Date]],"mmmm")</f>
        <v>July</v>
      </c>
      <c r="Q657" t="str">
        <f>TEXT(Table1[[#This Row],[Order Date]],"mm")</f>
        <v>07</v>
      </c>
      <c r="R657" s="2">
        <f>Table1[[#This Row],[Profit]]/Table1[[#This Row],[Sales]]</f>
        <v>0.30624746347402598</v>
      </c>
      <c r="S657" t="str">
        <f t="shared" si="10"/>
        <v>Low (1-10%)</v>
      </c>
    </row>
    <row r="658" spans="1:19" x14ac:dyDescent="0.2">
      <c r="A658" t="s">
        <v>1366</v>
      </c>
      <c r="B658" s="3" t="s">
        <v>1046</v>
      </c>
      <c r="C658" t="s">
        <v>42</v>
      </c>
      <c r="D658" t="s">
        <v>137</v>
      </c>
      <c r="E658" t="s">
        <v>242</v>
      </c>
      <c r="F658" t="s">
        <v>55</v>
      </c>
      <c r="G658" t="s">
        <v>74</v>
      </c>
      <c r="H658" t="s">
        <v>75</v>
      </c>
      <c r="I658" s="4">
        <v>2815.83</v>
      </c>
      <c r="J658">
        <v>9</v>
      </c>
      <c r="K658" s="2">
        <v>0.2</v>
      </c>
      <c r="L658" s="4">
        <v>88.72</v>
      </c>
      <c r="M658" t="s">
        <v>44</v>
      </c>
      <c r="N658" t="s">
        <v>76</v>
      </c>
      <c r="O658">
        <f>YEAR(Table1[[#This Row],[Order Date]])</f>
        <v>2025</v>
      </c>
      <c r="P658" t="str">
        <f>TEXT(Table1[[#This Row],[Order Date]],"mmmm")</f>
        <v>July</v>
      </c>
      <c r="Q658" t="str">
        <f>TEXT(Table1[[#This Row],[Order Date]],"mm")</f>
        <v>07</v>
      </c>
      <c r="R658" s="2">
        <f>Table1[[#This Row],[Profit]]/Table1[[#This Row],[Sales]]</f>
        <v>3.1507583909539991E-2</v>
      </c>
      <c r="S658" t="str">
        <f t="shared" si="10"/>
        <v>Medium (11-20%)</v>
      </c>
    </row>
    <row r="659" spans="1:19" x14ac:dyDescent="0.2">
      <c r="A659" t="s">
        <v>1367</v>
      </c>
      <c r="B659" s="3" t="s">
        <v>1368</v>
      </c>
      <c r="C659" t="s">
        <v>797</v>
      </c>
      <c r="D659" t="s">
        <v>48</v>
      </c>
      <c r="E659" t="s">
        <v>49</v>
      </c>
      <c r="F659" t="s">
        <v>67</v>
      </c>
      <c r="G659" t="s">
        <v>85</v>
      </c>
      <c r="H659" t="s">
        <v>125</v>
      </c>
      <c r="I659" s="4">
        <v>6828.96</v>
      </c>
      <c r="J659">
        <v>8</v>
      </c>
      <c r="K659" s="2">
        <v>0.05</v>
      </c>
      <c r="L659" s="4">
        <v>1192.5899999999999</v>
      </c>
      <c r="M659" t="s">
        <v>117</v>
      </c>
      <c r="N659" t="s">
        <v>23</v>
      </c>
      <c r="O659">
        <f>YEAR(Table1[[#This Row],[Order Date]])</f>
        <v>2024</v>
      </c>
      <c r="P659" t="str">
        <f>TEXT(Table1[[#This Row],[Order Date]],"mmmm")</f>
        <v>January</v>
      </c>
      <c r="Q659" t="str">
        <f>TEXT(Table1[[#This Row],[Order Date]],"mm")</f>
        <v>01</v>
      </c>
      <c r="R659" s="2">
        <f>Table1[[#This Row],[Profit]]/Table1[[#This Row],[Sales]]</f>
        <v>0.17463713361917479</v>
      </c>
      <c r="S659" t="str">
        <f t="shared" si="10"/>
        <v>Low (1-10%)</v>
      </c>
    </row>
    <row r="660" spans="1:19" x14ac:dyDescent="0.2">
      <c r="A660" t="s">
        <v>1369</v>
      </c>
      <c r="B660" s="3" t="s">
        <v>1370</v>
      </c>
      <c r="C660" t="s">
        <v>221</v>
      </c>
      <c r="D660" t="s">
        <v>48</v>
      </c>
      <c r="E660" t="s">
        <v>49</v>
      </c>
      <c r="F660" t="s">
        <v>55</v>
      </c>
      <c r="G660" t="s">
        <v>74</v>
      </c>
      <c r="H660" t="s">
        <v>133</v>
      </c>
      <c r="I660" s="4">
        <v>2283.6</v>
      </c>
      <c r="J660">
        <v>4</v>
      </c>
      <c r="K660" s="2">
        <v>0.25</v>
      </c>
      <c r="L660" s="4">
        <v>-384.32</v>
      </c>
      <c r="M660" t="s">
        <v>38</v>
      </c>
      <c r="N660" t="s">
        <v>39</v>
      </c>
      <c r="O660">
        <f>YEAR(Table1[[#This Row],[Order Date]])</f>
        <v>2024</v>
      </c>
      <c r="P660" t="str">
        <f>TEXT(Table1[[#This Row],[Order Date]],"mmmm")</f>
        <v>March</v>
      </c>
      <c r="Q660" t="str">
        <f>TEXT(Table1[[#This Row],[Order Date]],"mm")</f>
        <v>03</v>
      </c>
      <c r="R660" s="2">
        <f>Table1[[#This Row],[Profit]]/Table1[[#This Row],[Sales]]</f>
        <v>-0.16829567349798563</v>
      </c>
      <c r="S660" t="str">
        <f t="shared" si="10"/>
        <v>High (21-30%)</v>
      </c>
    </row>
    <row r="661" spans="1:19" x14ac:dyDescent="0.2">
      <c r="A661" t="s">
        <v>1371</v>
      </c>
      <c r="B661" s="3" t="s">
        <v>1372</v>
      </c>
      <c r="C661" t="s">
        <v>375</v>
      </c>
      <c r="D661" t="s">
        <v>137</v>
      </c>
      <c r="E661" t="s">
        <v>138</v>
      </c>
      <c r="F661" t="s">
        <v>19</v>
      </c>
      <c r="G661" t="s">
        <v>29</v>
      </c>
      <c r="H661" t="s">
        <v>199</v>
      </c>
      <c r="I661" s="4">
        <v>3086.13</v>
      </c>
      <c r="J661">
        <v>3</v>
      </c>
      <c r="K661" s="2">
        <v>0.15</v>
      </c>
      <c r="L661" s="4">
        <v>577.42999999999995</v>
      </c>
      <c r="M661" t="s">
        <v>63</v>
      </c>
      <c r="N661" t="s">
        <v>39</v>
      </c>
      <c r="O661">
        <f>YEAR(Table1[[#This Row],[Order Date]])</f>
        <v>2024</v>
      </c>
      <c r="P661" t="str">
        <f>TEXT(Table1[[#This Row],[Order Date]],"mmmm")</f>
        <v>December</v>
      </c>
      <c r="Q661" t="str">
        <f>TEXT(Table1[[#This Row],[Order Date]],"mm")</f>
        <v>12</v>
      </c>
      <c r="R661" s="2">
        <f>Table1[[#This Row],[Profit]]/Table1[[#This Row],[Sales]]</f>
        <v>0.18710488540664194</v>
      </c>
      <c r="S661" t="str">
        <f t="shared" si="10"/>
        <v>Medium (11-20%)</v>
      </c>
    </row>
    <row r="662" spans="1:19" x14ac:dyDescent="0.2">
      <c r="A662" t="s">
        <v>1373</v>
      </c>
      <c r="B662" s="3" t="s">
        <v>1374</v>
      </c>
      <c r="C662" t="s">
        <v>480</v>
      </c>
      <c r="D662" t="s">
        <v>27</v>
      </c>
      <c r="E662" t="s">
        <v>61</v>
      </c>
      <c r="F662" t="s">
        <v>19</v>
      </c>
      <c r="G662" t="s">
        <v>29</v>
      </c>
      <c r="H662" t="s">
        <v>50</v>
      </c>
      <c r="I662" s="4">
        <v>3039.57</v>
      </c>
      <c r="J662">
        <v>3</v>
      </c>
      <c r="K662" s="2">
        <v>0.3</v>
      </c>
      <c r="L662" s="4">
        <v>249.52</v>
      </c>
      <c r="M662" t="s">
        <v>87</v>
      </c>
      <c r="N662" t="s">
        <v>23</v>
      </c>
      <c r="O662">
        <f>YEAR(Table1[[#This Row],[Order Date]])</f>
        <v>2025</v>
      </c>
      <c r="P662" t="str">
        <f>TEXT(Table1[[#This Row],[Order Date]],"mmmm")</f>
        <v>October</v>
      </c>
      <c r="Q662" t="str">
        <f>TEXT(Table1[[#This Row],[Order Date]],"mm")</f>
        <v>10</v>
      </c>
      <c r="R662" s="2">
        <f>Table1[[#This Row],[Profit]]/Table1[[#This Row],[Sales]]</f>
        <v>8.2090558861944288E-2</v>
      </c>
      <c r="S662" t="str">
        <f t="shared" si="10"/>
        <v>High (21-30%)</v>
      </c>
    </row>
    <row r="663" spans="1:19" x14ac:dyDescent="0.2">
      <c r="A663" t="s">
        <v>1375</v>
      </c>
      <c r="B663" s="3" t="s">
        <v>1376</v>
      </c>
      <c r="C663" t="s">
        <v>950</v>
      </c>
      <c r="D663" t="s">
        <v>17</v>
      </c>
      <c r="E663" t="s">
        <v>54</v>
      </c>
      <c r="F663" t="s">
        <v>55</v>
      </c>
      <c r="G663" t="s">
        <v>56</v>
      </c>
      <c r="H663" t="s">
        <v>62</v>
      </c>
      <c r="I663" s="4">
        <v>6604.38</v>
      </c>
      <c r="J663">
        <v>9</v>
      </c>
      <c r="K663" s="2">
        <v>0</v>
      </c>
      <c r="L663" s="4">
        <v>2780.36</v>
      </c>
      <c r="M663" t="s">
        <v>107</v>
      </c>
      <c r="N663" t="s">
        <v>76</v>
      </c>
      <c r="O663">
        <f>YEAR(Table1[[#This Row],[Order Date]])</f>
        <v>2025</v>
      </c>
      <c r="P663" t="str">
        <f>TEXT(Table1[[#This Row],[Order Date]],"mmmm")</f>
        <v>May</v>
      </c>
      <c r="Q663" t="str">
        <f>TEXT(Table1[[#This Row],[Order Date]],"mm")</f>
        <v>05</v>
      </c>
      <c r="R663" s="2">
        <f>Table1[[#This Row],[Profit]]/Table1[[#This Row],[Sales]]</f>
        <v>0.42098728419624554</v>
      </c>
      <c r="S663" t="str">
        <f t="shared" si="10"/>
        <v>No Discount</v>
      </c>
    </row>
    <row r="664" spans="1:19" x14ac:dyDescent="0.2">
      <c r="A664" t="s">
        <v>1377</v>
      </c>
      <c r="B664" s="3" t="s">
        <v>931</v>
      </c>
      <c r="C664" t="s">
        <v>186</v>
      </c>
      <c r="D664" t="s">
        <v>17</v>
      </c>
      <c r="E664" t="s">
        <v>97</v>
      </c>
      <c r="F664" t="s">
        <v>67</v>
      </c>
      <c r="G664" t="s">
        <v>68</v>
      </c>
      <c r="H664" t="s">
        <v>103</v>
      </c>
      <c r="I664" s="4">
        <v>5846.46</v>
      </c>
      <c r="J664">
        <v>6</v>
      </c>
      <c r="K664" s="2">
        <v>0.3</v>
      </c>
      <c r="L664" s="4">
        <v>-877.6</v>
      </c>
      <c r="M664" t="s">
        <v>44</v>
      </c>
      <c r="N664" t="s">
        <v>23</v>
      </c>
      <c r="O664">
        <f>YEAR(Table1[[#This Row],[Order Date]])</f>
        <v>2025</v>
      </c>
      <c r="P664" t="str">
        <f>TEXT(Table1[[#This Row],[Order Date]],"mmmm")</f>
        <v>July</v>
      </c>
      <c r="Q664" t="str">
        <f>TEXT(Table1[[#This Row],[Order Date]],"mm")</f>
        <v>07</v>
      </c>
      <c r="R664" s="2">
        <f>Table1[[#This Row],[Profit]]/Table1[[#This Row],[Sales]]</f>
        <v>-0.15010792855847813</v>
      </c>
      <c r="S664" t="str">
        <f t="shared" si="10"/>
        <v>High (21-30%)</v>
      </c>
    </row>
    <row r="665" spans="1:19" x14ac:dyDescent="0.2">
      <c r="A665" t="s">
        <v>1378</v>
      </c>
      <c r="B665" s="3" t="s">
        <v>1184</v>
      </c>
      <c r="C665" t="s">
        <v>350</v>
      </c>
      <c r="D665" t="s">
        <v>17</v>
      </c>
      <c r="E665" t="s">
        <v>18</v>
      </c>
      <c r="F665" t="s">
        <v>67</v>
      </c>
      <c r="G665" t="s">
        <v>115</v>
      </c>
      <c r="H665" t="s">
        <v>212</v>
      </c>
      <c r="I665" s="4">
        <v>7543.08</v>
      </c>
      <c r="J665">
        <v>9</v>
      </c>
      <c r="K665" s="2">
        <v>0.25</v>
      </c>
      <c r="L665" s="4">
        <v>-659.09</v>
      </c>
      <c r="M665" t="s">
        <v>38</v>
      </c>
      <c r="N665" t="s">
        <v>39</v>
      </c>
      <c r="O665">
        <f>YEAR(Table1[[#This Row],[Order Date]])</f>
        <v>2025</v>
      </c>
      <c r="P665" t="str">
        <f>TEXT(Table1[[#This Row],[Order Date]],"mmmm")</f>
        <v>December</v>
      </c>
      <c r="Q665" t="str">
        <f>TEXT(Table1[[#This Row],[Order Date]],"mm")</f>
        <v>12</v>
      </c>
      <c r="R665" s="2">
        <f>Table1[[#This Row],[Profit]]/Table1[[#This Row],[Sales]]</f>
        <v>-8.737677447408751E-2</v>
      </c>
      <c r="S665" t="str">
        <f t="shared" si="10"/>
        <v>High (21-30%)</v>
      </c>
    </row>
    <row r="666" spans="1:19" x14ac:dyDescent="0.2">
      <c r="A666" t="s">
        <v>1379</v>
      </c>
      <c r="B666" s="3" t="s">
        <v>996</v>
      </c>
      <c r="C666" t="s">
        <v>859</v>
      </c>
      <c r="D666" t="s">
        <v>137</v>
      </c>
      <c r="E666" t="s">
        <v>242</v>
      </c>
      <c r="F666" t="s">
        <v>67</v>
      </c>
      <c r="G666" t="s">
        <v>85</v>
      </c>
      <c r="H666" t="s">
        <v>86</v>
      </c>
      <c r="I666" s="4">
        <v>1887.74</v>
      </c>
      <c r="J666">
        <v>2</v>
      </c>
      <c r="K666" s="2">
        <v>0.05</v>
      </c>
      <c r="L666" s="4">
        <v>95.72</v>
      </c>
      <c r="M666" t="s">
        <v>195</v>
      </c>
      <c r="N666" t="s">
        <v>32</v>
      </c>
      <c r="O666">
        <f>YEAR(Table1[[#This Row],[Order Date]])</f>
        <v>2025</v>
      </c>
      <c r="P666" t="str">
        <f>TEXT(Table1[[#This Row],[Order Date]],"mmmm")</f>
        <v>July</v>
      </c>
      <c r="Q666" t="str">
        <f>TEXT(Table1[[#This Row],[Order Date]],"mm")</f>
        <v>07</v>
      </c>
      <c r="R666" s="2">
        <f>Table1[[#This Row],[Profit]]/Table1[[#This Row],[Sales]]</f>
        <v>5.0706135378812758E-2</v>
      </c>
      <c r="S666" t="str">
        <f t="shared" si="10"/>
        <v>Low (1-10%)</v>
      </c>
    </row>
    <row r="667" spans="1:19" x14ac:dyDescent="0.2">
      <c r="A667" t="s">
        <v>1380</v>
      </c>
      <c r="B667" s="3" t="s">
        <v>1381</v>
      </c>
      <c r="C667" t="s">
        <v>646</v>
      </c>
      <c r="D667" t="s">
        <v>27</v>
      </c>
      <c r="E667" t="s">
        <v>43</v>
      </c>
      <c r="F667" t="s">
        <v>67</v>
      </c>
      <c r="G667" t="s">
        <v>68</v>
      </c>
      <c r="H667" t="s">
        <v>382</v>
      </c>
      <c r="I667" s="4">
        <v>7645.89</v>
      </c>
      <c r="J667">
        <v>7</v>
      </c>
      <c r="K667" s="2">
        <v>0.05</v>
      </c>
      <c r="L667" s="4">
        <v>945.67</v>
      </c>
      <c r="M667" t="s">
        <v>117</v>
      </c>
      <c r="N667" t="s">
        <v>32</v>
      </c>
      <c r="O667">
        <f>YEAR(Table1[[#This Row],[Order Date]])</f>
        <v>2024</v>
      </c>
      <c r="P667" t="str">
        <f>TEXT(Table1[[#This Row],[Order Date]],"mmmm")</f>
        <v>May</v>
      </c>
      <c r="Q667" t="str">
        <f>TEXT(Table1[[#This Row],[Order Date]],"mm")</f>
        <v>05</v>
      </c>
      <c r="R667" s="2">
        <f>Table1[[#This Row],[Profit]]/Table1[[#This Row],[Sales]]</f>
        <v>0.12368344300009547</v>
      </c>
      <c r="S667" t="str">
        <f t="shared" si="10"/>
        <v>Low (1-10%)</v>
      </c>
    </row>
    <row r="668" spans="1:19" x14ac:dyDescent="0.2">
      <c r="A668" t="s">
        <v>1382</v>
      </c>
      <c r="B668" s="3" t="s">
        <v>1383</v>
      </c>
      <c r="C668" t="s">
        <v>745</v>
      </c>
      <c r="D668" t="s">
        <v>48</v>
      </c>
      <c r="E668" t="s">
        <v>84</v>
      </c>
      <c r="F668" t="s">
        <v>67</v>
      </c>
      <c r="G668" t="s">
        <v>68</v>
      </c>
      <c r="H668" t="s">
        <v>382</v>
      </c>
      <c r="I668" s="4">
        <v>3463.38</v>
      </c>
      <c r="J668">
        <v>9</v>
      </c>
      <c r="K668" s="2">
        <v>0.1</v>
      </c>
      <c r="L668" s="4">
        <v>171.98</v>
      </c>
      <c r="M668" t="s">
        <v>44</v>
      </c>
      <c r="N668" t="s">
        <v>76</v>
      </c>
      <c r="O668">
        <f>YEAR(Table1[[#This Row],[Order Date]])</f>
        <v>2025</v>
      </c>
      <c r="P668" t="str">
        <f>TEXT(Table1[[#This Row],[Order Date]],"mmmm")</f>
        <v>April</v>
      </c>
      <c r="Q668" t="str">
        <f>TEXT(Table1[[#This Row],[Order Date]],"mm")</f>
        <v>04</v>
      </c>
      <c r="R668" s="2">
        <f>Table1[[#This Row],[Profit]]/Table1[[#This Row],[Sales]]</f>
        <v>4.9656693750036091E-2</v>
      </c>
      <c r="S668" t="str">
        <f t="shared" si="10"/>
        <v>Low (1-10%)</v>
      </c>
    </row>
    <row r="669" spans="1:19" x14ac:dyDescent="0.2">
      <c r="A669" t="s">
        <v>1384</v>
      </c>
      <c r="B669" s="3" t="s">
        <v>301</v>
      </c>
      <c r="C669" t="s">
        <v>501</v>
      </c>
      <c r="D669" t="s">
        <v>137</v>
      </c>
      <c r="E669" t="s">
        <v>242</v>
      </c>
      <c r="F669" t="s">
        <v>55</v>
      </c>
      <c r="G669" t="s">
        <v>74</v>
      </c>
      <c r="H669" t="s">
        <v>272</v>
      </c>
      <c r="I669" s="4">
        <v>363.12</v>
      </c>
      <c r="J669">
        <v>3</v>
      </c>
      <c r="K669" s="2">
        <v>0.1</v>
      </c>
      <c r="L669" s="4">
        <v>50.23</v>
      </c>
      <c r="M669" t="s">
        <v>31</v>
      </c>
      <c r="N669" t="s">
        <v>76</v>
      </c>
      <c r="O669">
        <f>YEAR(Table1[[#This Row],[Order Date]])</f>
        <v>2025</v>
      </c>
      <c r="P669" t="str">
        <f>TEXT(Table1[[#This Row],[Order Date]],"mmmm")</f>
        <v>June</v>
      </c>
      <c r="Q669" t="str">
        <f>TEXT(Table1[[#This Row],[Order Date]],"mm")</f>
        <v>06</v>
      </c>
      <c r="R669" s="2">
        <f>Table1[[#This Row],[Profit]]/Table1[[#This Row],[Sales]]</f>
        <v>0.13832892707644856</v>
      </c>
      <c r="S669" t="str">
        <f t="shared" si="10"/>
        <v>Low (1-10%)</v>
      </c>
    </row>
    <row r="670" spans="1:19" x14ac:dyDescent="0.2">
      <c r="A670" t="s">
        <v>1385</v>
      </c>
      <c r="B670" s="3" t="s">
        <v>1111</v>
      </c>
      <c r="C670" t="s">
        <v>83</v>
      </c>
      <c r="D670" t="s">
        <v>17</v>
      </c>
      <c r="E670" t="s">
        <v>80</v>
      </c>
      <c r="F670" t="s">
        <v>55</v>
      </c>
      <c r="G670" t="s">
        <v>74</v>
      </c>
      <c r="H670" t="s">
        <v>75</v>
      </c>
      <c r="I670" s="4">
        <v>162.28</v>
      </c>
      <c r="J670">
        <v>4</v>
      </c>
      <c r="K670" s="2">
        <v>0.05</v>
      </c>
      <c r="L670" s="4">
        <v>48.67</v>
      </c>
      <c r="M670" t="s">
        <v>107</v>
      </c>
      <c r="N670" t="s">
        <v>76</v>
      </c>
      <c r="O670">
        <f>YEAR(Table1[[#This Row],[Order Date]])</f>
        <v>2024</v>
      </c>
      <c r="P670" t="str">
        <f>TEXT(Table1[[#This Row],[Order Date]],"mmmm")</f>
        <v>November</v>
      </c>
      <c r="Q670" t="str">
        <f>TEXT(Table1[[#This Row],[Order Date]],"mm")</f>
        <v>11</v>
      </c>
      <c r="R670" s="2">
        <f>Table1[[#This Row],[Profit]]/Table1[[#This Row],[Sales]]</f>
        <v>0.29991372935666749</v>
      </c>
      <c r="S670" t="str">
        <f t="shared" si="10"/>
        <v>Low (1-10%)</v>
      </c>
    </row>
    <row r="671" spans="1:19" x14ac:dyDescent="0.2">
      <c r="A671" t="s">
        <v>1386</v>
      </c>
      <c r="B671" s="3" t="s">
        <v>828</v>
      </c>
      <c r="C671" t="s">
        <v>370</v>
      </c>
      <c r="D671" t="s">
        <v>27</v>
      </c>
      <c r="E671" t="s">
        <v>43</v>
      </c>
      <c r="F671" t="s">
        <v>19</v>
      </c>
      <c r="G671" t="s">
        <v>36</v>
      </c>
      <c r="H671" t="s">
        <v>37</v>
      </c>
      <c r="I671" s="4">
        <v>3088.89</v>
      </c>
      <c r="J671">
        <v>3</v>
      </c>
      <c r="K671" s="2">
        <v>0.2</v>
      </c>
      <c r="L671" s="4">
        <v>-205.08</v>
      </c>
      <c r="M671" t="s">
        <v>38</v>
      </c>
      <c r="N671" t="s">
        <v>39</v>
      </c>
      <c r="O671">
        <f>YEAR(Table1[[#This Row],[Order Date]])</f>
        <v>2024</v>
      </c>
      <c r="P671" t="str">
        <f>TEXT(Table1[[#This Row],[Order Date]],"mmmm")</f>
        <v>August</v>
      </c>
      <c r="Q671" t="str">
        <f>TEXT(Table1[[#This Row],[Order Date]],"mm")</f>
        <v>08</v>
      </c>
      <c r="R671" s="2">
        <f>Table1[[#This Row],[Profit]]/Table1[[#This Row],[Sales]]</f>
        <v>-6.6392781873100049E-2</v>
      </c>
      <c r="S671" t="str">
        <f t="shared" si="10"/>
        <v>Medium (11-20%)</v>
      </c>
    </row>
    <row r="672" spans="1:19" x14ac:dyDescent="0.2">
      <c r="A672" t="s">
        <v>1387</v>
      </c>
      <c r="B672" s="3" t="s">
        <v>1182</v>
      </c>
      <c r="C672" t="s">
        <v>183</v>
      </c>
      <c r="D672" t="s">
        <v>17</v>
      </c>
      <c r="E672" t="s">
        <v>54</v>
      </c>
      <c r="F672" t="s">
        <v>55</v>
      </c>
      <c r="G672" t="s">
        <v>74</v>
      </c>
      <c r="H672" t="s">
        <v>75</v>
      </c>
      <c r="I672" s="4">
        <v>2454.27</v>
      </c>
      <c r="J672">
        <v>3</v>
      </c>
      <c r="K672" s="2">
        <v>0.15</v>
      </c>
      <c r="L672" s="4">
        <v>-219.41</v>
      </c>
      <c r="M672" t="s">
        <v>107</v>
      </c>
      <c r="N672" t="s">
        <v>39</v>
      </c>
      <c r="O672">
        <f>YEAR(Table1[[#This Row],[Order Date]])</f>
        <v>2024</v>
      </c>
      <c r="P672" t="str">
        <f>TEXT(Table1[[#This Row],[Order Date]],"mmmm")</f>
        <v>October</v>
      </c>
      <c r="Q672" t="str">
        <f>TEXT(Table1[[#This Row],[Order Date]],"mm")</f>
        <v>10</v>
      </c>
      <c r="R672" s="2">
        <f>Table1[[#This Row],[Profit]]/Table1[[#This Row],[Sales]]</f>
        <v>-8.9399291846455356E-2</v>
      </c>
      <c r="S672" t="str">
        <f t="shared" si="10"/>
        <v>Medium (11-20%)</v>
      </c>
    </row>
    <row r="673" spans="1:19" x14ac:dyDescent="0.2">
      <c r="A673" t="s">
        <v>1388</v>
      </c>
      <c r="B673" s="3" t="s">
        <v>1389</v>
      </c>
      <c r="C673" t="s">
        <v>166</v>
      </c>
      <c r="D673" t="s">
        <v>48</v>
      </c>
      <c r="E673" t="s">
        <v>49</v>
      </c>
      <c r="F673" t="s">
        <v>19</v>
      </c>
      <c r="G673" t="s">
        <v>20</v>
      </c>
      <c r="H673" t="s">
        <v>21</v>
      </c>
      <c r="I673" s="4">
        <v>1143.3800000000001</v>
      </c>
      <c r="J673">
        <v>2</v>
      </c>
      <c r="K673" s="2">
        <v>0.05</v>
      </c>
      <c r="L673" s="4">
        <v>108.57</v>
      </c>
      <c r="M673" t="s">
        <v>44</v>
      </c>
      <c r="N673" t="s">
        <v>39</v>
      </c>
      <c r="O673">
        <f>YEAR(Table1[[#This Row],[Order Date]])</f>
        <v>2024</v>
      </c>
      <c r="P673" t="str">
        <f>TEXT(Table1[[#This Row],[Order Date]],"mmmm")</f>
        <v>April</v>
      </c>
      <c r="Q673" t="str">
        <f>TEXT(Table1[[#This Row],[Order Date]],"mm")</f>
        <v>04</v>
      </c>
      <c r="R673" s="2">
        <f>Table1[[#This Row],[Profit]]/Table1[[#This Row],[Sales]]</f>
        <v>9.4955307946614415E-2</v>
      </c>
      <c r="S673" t="str">
        <f t="shared" si="10"/>
        <v>Low (1-10%)</v>
      </c>
    </row>
    <row r="674" spans="1:19" x14ac:dyDescent="0.2">
      <c r="A674" t="s">
        <v>1390</v>
      </c>
      <c r="B674" s="3" t="s">
        <v>1363</v>
      </c>
      <c r="C674" t="s">
        <v>308</v>
      </c>
      <c r="D674" t="s">
        <v>27</v>
      </c>
      <c r="E674" t="s">
        <v>124</v>
      </c>
      <c r="F674" t="s">
        <v>19</v>
      </c>
      <c r="G674" t="s">
        <v>36</v>
      </c>
      <c r="H674" t="s">
        <v>222</v>
      </c>
      <c r="I674" s="4">
        <v>4499.46</v>
      </c>
      <c r="J674">
        <v>6</v>
      </c>
      <c r="K674" s="2">
        <v>0</v>
      </c>
      <c r="L674" s="4">
        <v>1658.78</v>
      </c>
      <c r="M674" t="s">
        <v>195</v>
      </c>
      <c r="N674" t="s">
        <v>76</v>
      </c>
      <c r="O674">
        <f>YEAR(Table1[[#This Row],[Order Date]])</f>
        <v>2025</v>
      </c>
      <c r="P674" t="str">
        <f>TEXT(Table1[[#This Row],[Order Date]],"mmmm")</f>
        <v>January</v>
      </c>
      <c r="Q674" t="str">
        <f>TEXT(Table1[[#This Row],[Order Date]],"mm")</f>
        <v>01</v>
      </c>
      <c r="R674" s="2">
        <f>Table1[[#This Row],[Profit]]/Table1[[#This Row],[Sales]]</f>
        <v>0.36866201721984415</v>
      </c>
      <c r="S674" t="str">
        <f t="shared" si="10"/>
        <v>No Discount</v>
      </c>
    </row>
    <row r="675" spans="1:19" x14ac:dyDescent="0.2">
      <c r="A675" t="s">
        <v>1391</v>
      </c>
      <c r="B675" s="3" t="s">
        <v>1392</v>
      </c>
      <c r="C675" t="s">
        <v>994</v>
      </c>
      <c r="D675" t="s">
        <v>137</v>
      </c>
      <c r="E675" t="s">
        <v>142</v>
      </c>
      <c r="F675" t="s">
        <v>55</v>
      </c>
      <c r="G675" t="s">
        <v>98</v>
      </c>
      <c r="H675" t="s">
        <v>150</v>
      </c>
      <c r="I675" s="4">
        <v>230.28</v>
      </c>
      <c r="J675">
        <v>2</v>
      </c>
      <c r="K675" s="2">
        <v>0</v>
      </c>
      <c r="L675" s="4">
        <v>52.39</v>
      </c>
      <c r="M675" t="s">
        <v>195</v>
      </c>
      <c r="N675" t="s">
        <v>39</v>
      </c>
      <c r="O675">
        <f>YEAR(Table1[[#This Row],[Order Date]])</f>
        <v>2024</v>
      </c>
      <c r="P675" t="str">
        <f>TEXT(Table1[[#This Row],[Order Date]],"mmmm")</f>
        <v>February</v>
      </c>
      <c r="Q675" t="str">
        <f>TEXT(Table1[[#This Row],[Order Date]],"mm")</f>
        <v>02</v>
      </c>
      <c r="R675" s="2">
        <f>Table1[[#This Row],[Profit]]/Table1[[#This Row],[Sales]]</f>
        <v>0.22750564530137224</v>
      </c>
      <c r="S675" t="str">
        <f t="shared" si="10"/>
        <v>No Discount</v>
      </c>
    </row>
    <row r="676" spans="1:19" x14ac:dyDescent="0.2">
      <c r="A676" t="s">
        <v>1393</v>
      </c>
      <c r="B676" s="3" t="s">
        <v>1394</v>
      </c>
      <c r="C676" t="s">
        <v>340</v>
      </c>
      <c r="D676" t="s">
        <v>137</v>
      </c>
      <c r="E676" t="s">
        <v>160</v>
      </c>
      <c r="F676" t="s">
        <v>19</v>
      </c>
      <c r="G676" t="s">
        <v>36</v>
      </c>
      <c r="H676" t="s">
        <v>222</v>
      </c>
      <c r="I676" s="4">
        <v>3270.15</v>
      </c>
      <c r="J676">
        <v>9</v>
      </c>
      <c r="K676" s="2">
        <v>0.05</v>
      </c>
      <c r="L676" s="4">
        <v>1153.78</v>
      </c>
      <c r="M676" t="s">
        <v>117</v>
      </c>
      <c r="N676" t="s">
        <v>76</v>
      </c>
      <c r="O676">
        <f>YEAR(Table1[[#This Row],[Order Date]])</f>
        <v>2024</v>
      </c>
      <c r="P676" t="str">
        <f>TEXT(Table1[[#This Row],[Order Date]],"mmmm")</f>
        <v>October</v>
      </c>
      <c r="Q676" t="str">
        <f>TEXT(Table1[[#This Row],[Order Date]],"mm")</f>
        <v>10</v>
      </c>
      <c r="R676" s="2">
        <f>Table1[[#This Row],[Profit]]/Table1[[#This Row],[Sales]]</f>
        <v>0.35282173600599359</v>
      </c>
      <c r="S676" t="str">
        <f t="shared" si="10"/>
        <v>Low (1-10%)</v>
      </c>
    </row>
    <row r="677" spans="1:19" x14ac:dyDescent="0.2">
      <c r="A677" t="s">
        <v>1395</v>
      </c>
      <c r="B677" s="3" t="s">
        <v>201</v>
      </c>
      <c r="C677" t="s">
        <v>302</v>
      </c>
      <c r="D677" t="s">
        <v>17</v>
      </c>
      <c r="E677" t="s">
        <v>80</v>
      </c>
      <c r="F677" t="s">
        <v>67</v>
      </c>
      <c r="G677" t="s">
        <v>68</v>
      </c>
      <c r="H677" t="s">
        <v>103</v>
      </c>
      <c r="I677" s="4">
        <v>2502.96</v>
      </c>
      <c r="J677">
        <v>4</v>
      </c>
      <c r="K677" s="2">
        <v>0.2</v>
      </c>
      <c r="L677" s="4">
        <v>426.78</v>
      </c>
      <c r="M677" t="s">
        <v>31</v>
      </c>
      <c r="N677" t="s">
        <v>32</v>
      </c>
      <c r="O677">
        <f>YEAR(Table1[[#This Row],[Order Date]])</f>
        <v>2024</v>
      </c>
      <c r="P677" t="str">
        <f>TEXT(Table1[[#This Row],[Order Date]],"mmmm")</f>
        <v>October</v>
      </c>
      <c r="Q677" t="str">
        <f>TEXT(Table1[[#This Row],[Order Date]],"mm")</f>
        <v>10</v>
      </c>
      <c r="R677" s="2">
        <f>Table1[[#This Row],[Profit]]/Table1[[#This Row],[Sales]]</f>
        <v>0.17051011602262919</v>
      </c>
      <c r="S677" t="str">
        <f t="shared" si="10"/>
        <v>Medium (11-20%)</v>
      </c>
    </row>
    <row r="678" spans="1:19" x14ac:dyDescent="0.2">
      <c r="A678" t="s">
        <v>1396</v>
      </c>
      <c r="B678" s="3" t="s">
        <v>1397</v>
      </c>
      <c r="C678" t="s">
        <v>228</v>
      </c>
      <c r="D678" t="s">
        <v>17</v>
      </c>
      <c r="E678" t="s">
        <v>54</v>
      </c>
      <c r="F678" t="s">
        <v>19</v>
      </c>
      <c r="G678" t="s">
        <v>20</v>
      </c>
      <c r="H678" t="s">
        <v>347</v>
      </c>
      <c r="I678" s="4">
        <v>7827.82</v>
      </c>
      <c r="J678">
        <v>7</v>
      </c>
      <c r="K678" s="2">
        <v>0.1</v>
      </c>
      <c r="L678" s="4">
        <v>2285.9899999999998</v>
      </c>
      <c r="M678" t="s">
        <v>195</v>
      </c>
      <c r="N678" t="s">
        <v>32</v>
      </c>
      <c r="O678">
        <f>YEAR(Table1[[#This Row],[Order Date]])</f>
        <v>2025</v>
      </c>
      <c r="P678" t="str">
        <f>TEXT(Table1[[#This Row],[Order Date]],"mmmm")</f>
        <v>November</v>
      </c>
      <c r="Q678" t="str">
        <f>TEXT(Table1[[#This Row],[Order Date]],"mm")</f>
        <v>11</v>
      </c>
      <c r="R678" s="2">
        <f>Table1[[#This Row],[Profit]]/Table1[[#This Row],[Sales]]</f>
        <v>0.29203405290361811</v>
      </c>
      <c r="S678" t="str">
        <f t="shared" si="10"/>
        <v>Low (1-10%)</v>
      </c>
    </row>
    <row r="679" spans="1:19" x14ac:dyDescent="0.2">
      <c r="A679" t="s">
        <v>1398</v>
      </c>
      <c r="B679" s="3" t="s">
        <v>1100</v>
      </c>
      <c r="C679" t="s">
        <v>1018</v>
      </c>
      <c r="D679" t="s">
        <v>137</v>
      </c>
      <c r="E679" t="s">
        <v>138</v>
      </c>
      <c r="F679" t="s">
        <v>67</v>
      </c>
      <c r="G679" t="s">
        <v>115</v>
      </c>
      <c r="H679" t="s">
        <v>116</v>
      </c>
      <c r="I679" s="4">
        <v>484.96</v>
      </c>
      <c r="J679">
        <v>8</v>
      </c>
      <c r="K679" s="2">
        <v>0.05</v>
      </c>
      <c r="L679" s="4">
        <v>141.27000000000001</v>
      </c>
      <c r="M679" t="s">
        <v>107</v>
      </c>
      <c r="N679" t="s">
        <v>32</v>
      </c>
      <c r="O679">
        <f>YEAR(Table1[[#This Row],[Order Date]])</f>
        <v>2024</v>
      </c>
      <c r="P679" t="str">
        <f>TEXT(Table1[[#This Row],[Order Date]],"mmmm")</f>
        <v>December</v>
      </c>
      <c r="Q679" t="str">
        <f>TEXT(Table1[[#This Row],[Order Date]],"mm")</f>
        <v>12</v>
      </c>
      <c r="R679" s="2">
        <f>Table1[[#This Row],[Profit]]/Table1[[#This Row],[Sales]]</f>
        <v>0.29130237545364568</v>
      </c>
      <c r="S679" t="str">
        <f t="shared" si="10"/>
        <v>Low (1-10%)</v>
      </c>
    </row>
    <row r="680" spans="1:19" x14ac:dyDescent="0.2">
      <c r="A680" t="s">
        <v>1399</v>
      </c>
      <c r="B680" s="3" t="s">
        <v>603</v>
      </c>
      <c r="C680" t="s">
        <v>128</v>
      </c>
      <c r="D680" t="s">
        <v>48</v>
      </c>
      <c r="E680" t="s">
        <v>49</v>
      </c>
      <c r="F680" t="s">
        <v>19</v>
      </c>
      <c r="G680" t="s">
        <v>20</v>
      </c>
      <c r="H680" t="s">
        <v>239</v>
      </c>
      <c r="I680" s="4">
        <v>1727.74</v>
      </c>
      <c r="J680">
        <v>7</v>
      </c>
      <c r="K680" s="2">
        <v>0.3</v>
      </c>
      <c r="L680" s="4">
        <v>-145.66999999999999</v>
      </c>
      <c r="M680" t="s">
        <v>44</v>
      </c>
      <c r="N680" t="s">
        <v>23</v>
      </c>
      <c r="O680">
        <f>YEAR(Table1[[#This Row],[Order Date]])</f>
        <v>2025</v>
      </c>
      <c r="P680" t="str">
        <f>TEXT(Table1[[#This Row],[Order Date]],"mmmm")</f>
        <v>January</v>
      </c>
      <c r="Q680" t="str">
        <f>TEXT(Table1[[#This Row],[Order Date]],"mm")</f>
        <v>01</v>
      </c>
      <c r="R680" s="2">
        <f>Table1[[#This Row],[Profit]]/Table1[[#This Row],[Sales]]</f>
        <v>-8.4312454420225252E-2</v>
      </c>
      <c r="S680" t="str">
        <f t="shared" si="10"/>
        <v>High (21-30%)</v>
      </c>
    </row>
    <row r="681" spans="1:19" x14ac:dyDescent="0.2">
      <c r="A681" t="s">
        <v>1400</v>
      </c>
      <c r="B681" s="3" t="s">
        <v>1401</v>
      </c>
      <c r="C681" t="s">
        <v>106</v>
      </c>
      <c r="D681" t="s">
        <v>48</v>
      </c>
      <c r="E681" t="s">
        <v>110</v>
      </c>
      <c r="F681" t="s">
        <v>19</v>
      </c>
      <c r="G681" t="s">
        <v>20</v>
      </c>
      <c r="H681" t="s">
        <v>239</v>
      </c>
      <c r="I681" s="4">
        <v>945.06</v>
      </c>
      <c r="J681">
        <v>3</v>
      </c>
      <c r="K681" s="2">
        <v>0.1</v>
      </c>
      <c r="L681" s="4">
        <v>244.53</v>
      </c>
      <c r="M681" t="s">
        <v>195</v>
      </c>
      <c r="N681" t="s">
        <v>23</v>
      </c>
      <c r="O681">
        <f>YEAR(Table1[[#This Row],[Order Date]])</f>
        <v>2025</v>
      </c>
      <c r="P681" t="str">
        <f>TEXT(Table1[[#This Row],[Order Date]],"mmmm")</f>
        <v>July</v>
      </c>
      <c r="Q681" t="str">
        <f>TEXT(Table1[[#This Row],[Order Date]],"mm")</f>
        <v>07</v>
      </c>
      <c r="R681" s="2">
        <f>Table1[[#This Row],[Profit]]/Table1[[#This Row],[Sales]]</f>
        <v>0.25874547647768398</v>
      </c>
      <c r="S681" t="str">
        <f t="shared" si="10"/>
        <v>Low (1-10%)</v>
      </c>
    </row>
    <row r="682" spans="1:19" x14ac:dyDescent="0.2">
      <c r="A682" t="s">
        <v>1402</v>
      </c>
      <c r="B682" s="3" t="s">
        <v>78</v>
      </c>
      <c r="C682" t="s">
        <v>235</v>
      </c>
      <c r="D682" t="s">
        <v>27</v>
      </c>
      <c r="E682" t="s">
        <v>43</v>
      </c>
      <c r="F682" t="s">
        <v>67</v>
      </c>
      <c r="G682" t="s">
        <v>68</v>
      </c>
      <c r="H682" t="s">
        <v>382</v>
      </c>
      <c r="I682" s="4">
        <v>73.06</v>
      </c>
      <c r="J682">
        <v>1</v>
      </c>
      <c r="K682" s="2">
        <v>0.25</v>
      </c>
      <c r="L682" s="4">
        <v>-6.85</v>
      </c>
      <c r="M682" t="s">
        <v>44</v>
      </c>
      <c r="N682" t="s">
        <v>23</v>
      </c>
      <c r="O682">
        <f>YEAR(Table1[[#This Row],[Order Date]])</f>
        <v>2024</v>
      </c>
      <c r="P682" t="str">
        <f>TEXT(Table1[[#This Row],[Order Date]],"mmmm")</f>
        <v>July</v>
      </c>
      <c r="Q682" t="str">
        <f>TEXT(Table1[[#This Row],[Order Date]],"mm")</f>
        <v>07</v>
      </c>
      <c r="R682" s="2">
        <f>Table1[[#This Row],[Profit]]/Table1[[#This Row],[Sales]]</f>
        <v>-9.3758554612647135E-2</v>
      </c>
      <c r="S682" t="str">
        <f t="shared" si="10"/>
        <v>High (21-30%)</v>
      </c>
    </row>
    <row r="683" spans="1:19" x14ac:dyDescent="0.2">
      <c r="A683" t="s">
        <v>1403</v>
      </c>
      <c r="B683" s="3" t="s">
        <v>1404</v>
      </c>
      <c r="C683" t="s">
        <v>183</v>
      </c>
      <c r="D683" t="s">
        <v>137</v>
      </c>
      <c r="E683" t="s">
        <v>160</v>
      </c>
      <c r="F683" t="s">
        <v>67</v>
      </c>
      <c r="G683" t="s">
        <v>68</v>
      </c>
      <c r="H683" t="s">
        <v>382</v>
      </c>
      <c r="I683" s="4">
        <v>3179.6</v>
      </c>
      <c r="J683">
        <v>10</v>
      </c>
      <c r="K683" s="2">
        <v>0.1</v>
      </c>
      <c r="L683" s="4">
        <v>975.33</v>
      </c>
      <c r="M683" t="s">
        <v>107</v>
      </c>
      <c r="N683" t="s">
        <v>32</v>
      </c>
      <c r="O683">
        <f>YEAR(Table1[[#This Row],[Order Date]])</f>
        <v>2024</v>
      </c>
      <c r="P683" t="str">
        <f>TEXT(Table1[[#This Row],[Order Date]],"mmmm")</f>
        <v>April</v>
      </c>
      <c r="Q683" t="str">
        <f>TEXT(Table1[[#This Row],[Order Date]],"mm")</f>
        <v>04</v>
      </c>
      <c r="R683" s="2">
        <f>Table1[[#This Row],[Profit]]/Table1[[#This Row],[Sales]]</f>
        <v>0.30674613158887915</v>
      </c>
      <c r="S683" t="str">
        <f t="shared" si="10"/>
        <v>Low (1-10%)</v>
      </c>
    </row>
    <row r="684" spans="1:19" x14ac:dyDescent="0.2">
      <c r="A684" t="s">
        <v>1405</v>
      </c>
      <c r="B684" s="3" t="s">
        <v>954</v>
      </c>
      <c r="C684" t="s">
        <v>1343</v>
      </c>
      <c r="D684" t="s">
        <v>27</v>
      </c>
      <c r="E684" t="s">
        <v>28</v>
      </c>
      <c r="F684" t="s">
        <v>67</v>
      </c>
      <c r="G684" t="s">
        <v>115</v>
      </c>
      <c r="H684" t="s">
        <v>178</v>
      </c>
      <c r="I684" s="4">
        <v>4296.42</v>
      </c>
      <c r="J684">
        <v>6</v>
      </c>
      <c r="K684" s="2">
        <v>0</v>
      </c>
      <c r="L684" s="4">
        <v>1399.12</v>
      </c>
      <c r="M684" t="s">
        <v>195</v>
      </c>
      <c r="N684" t="s">
        <v>76</v>
      </c>
      <c r="O684">
        <f>YEAR(Table1[[#This Row],[Order Date]])</f>
        <v>2025</v>
      </c>
      <c r="P684" t="str">
        <f>TEXT(Table1[[#This Row],[Order Date]],"mmmm")</f>
        <v>June</v>
      </c>
      <c r="Q684" t="str">
        <f>TEXT(Table1[[#This Row],[Order Date]],"mm")</f>
        <v>06</v>
      </c>
      <c r="R684" s="2">
        <f>Table1[[#This Row],[Profit]]/Table1[[#This Row],[Sales]]</f>
        <v>0.32564786496664661</v>
      </c>
      <c r="S684" t="str">
        <f t="shared" si="10"/>
        <v>No Discount</v>
      </c>
    </row>
    <row r="685" spans="1:19" x14ac:dyDescent="0.2">
      <c r="A685" t="s">
        <v>1406</v>
      </c>
      <c r="B685" s="3" t="s">
        <v>1407</v>
      </c>
      <c r="C685" t="s">
        <v>378</v>
      </c>
      <c r="D685" t="s">
        <v>48</v>
      </c>
      <c r="E685" t="s">
        <v>84</v>
      </c>
      <c r="F685" t="s">
        <v>67</v>
      </c>
      <c r="G685" t="s">
        <v>68</v>
      </c>
      <c r="H685" t="s">
        <v>103</v>
      </c>
      <c r="I685" s="4">
        <v>7545.2</v>
      </c>
      <c r="J685">
        <v>10</v>
      </c>
      <c r="K685" s="2">
        <v>0.15</v>
      </c>
      <c r="L685" s="4">
        <v>2032.84</v>
      </c>
      <c r="M685" t="s">
        <v>44</v>
      </c>
      <c r="N685" t="s">
        <v>23</v>
      </c>
      <c r="O685">
        <f>YEAR(Table1[[#This Row],[Order Date]])</f>
        <v>2024</v>
      </c>
      <c r="P685" t="str">
        <f>TEXT(Table1[[#This Row],[Order Date]],"mmmm")</f>
        <v>April</v>
      </c>
      <c r="Q685" t="str">
        <f>TEXT(Table1[[#This Row],[Order Date]],"mm")</f>
        <v>04</v>
      </c>
      <c r="R685" s="2">
        <f>Table1[[#This Row],[Profit]]/Table1[[#This Row],[Sales]]</f>
        <v>0.26942161904257012</v>
      </c>
      <c r="S685" t="str">
        <f t="shared" si="10"/>
        <v>Medium (11-20%)</v>
      </c>
    </row>
    <row r="686" spans="1:19" x14ac:dyDescent="0.2">
      <c r="A686" t="s">
        <v>1408</v>
      </c>
      <c r="B686" s="3" t="s">
        <v>1409</v>
      </c>
      <c r="C686" t="s">
        <v>1343</v>
      </c>
      <c r="D686" t="s">
        <v>27</v>
      </c>
      <c r="E686" t="s">
        <v>28</v>
      </c>
      <c r="F686" t="s">
        <v>55</v>
      </c>
      <c r="G686" t="s">
        <v>74</v>
      </c>
      <c r="H686" t="s">
        <v>133</v>
      </c>
      <c r="I686" s="4">
        <v>3580.89</v>
      </c>
      <c r="J686">
        <v>3</v>
      </c>
      <c r="K686" s="2">
        <v>0.3</v>
      </c>
      <c r="L686" s="4">
        <v>-117.62</v>
      </c>
      <c r="M686" t="s">
        <v>117</v>
      </c>
      <c r="N686" t="s">
        <v>39</v>
      </c>
      <c r="O686">
        <f>YEAR(Table1[[#This Row],[Order Date]])</f>
        <v>2024</v>
      </c>
      <c r="P686" t="str">
        <f>TEXT(Table1[[#This Row],[Order Date]],"mmmm")</f>
        <v>November</v>
      </c>
      <c r="Q686" t="str">
        <f>TEXT(Table1[[#This Row],[Order Date]],"mm")</f>
        <v>11</v>
      </c>
      <c r="R686" s="2">
        <f>Table1[[#This Row],[Profit]]/Table1[[#This Row],[Sales]]</f>
        <v>-3.2846582832759458E-2</v>
      </c>
      <c r="S686" t="str">
        <f t="shared" si="10"/>
        <v>High (21-30%)</v>
      </c>
    </row>
    <row r="687" spans="1:19" x14ac:dyDescent="0.2">
      <c r="A687" t="s">
        <v>1410</v>
      </c>
      <c r="B687" s="3" t="s">
        <v>578</v>
      </c>
      <c r="C687" t="s">
        <v>249</v>
      </c>
      <c r="D687" t="s">
        <v>137</v>
      </c>
      <c r="E687" t="s">
        <v>142</v>
      </c>
      <c r="F687" t="s">
        <v>55</v>
      </c>
      <c r="G687" t="s">
        <v>98</v>
      </c>
      <c r="H687" t="s">
        <v>154</v>
      </c>
      <c r="I687" s="4">
        <v>3022.95</v>
      </c>
      <c r="J687">
        <v>7</v>
      </c>
      <c r="K687" s="2">
        <v>0.05</v>
      </c>
      <c r="L687" s="4">
        <v>398.99</v>
      </c>
      <c r="M687" t="s">
        <v>87</v>
      </c>
      <c r="N687" t="s">
        <v>76</v>
      </c>
      <c r="O687">
        <f>YEAR(Table1[[#This Row],[Order Date]])</f>
        <v>2025</v>
      </c>
      <c r="P687" t="str">
        <f>TEXT(Table1[[#This Row],[Order Date]],"mmmm")</f>
        <v>February</v>
      </c>
      <c r="Q687" t="str">
        <f>TEXT(Table1[[#This Row],[Order Date]],"mm")</f>
        <v>02</v>
      </c>
      <c r="R687" s="2">
        <f>Table1[[#This Row],[Profit]]/Table1[[#This Row],[Sales]]</f>
        <v>0.13198696637390631</v>
      </c>
      <c r="S687" t="str">
        <f t="shared" si="10"/>
        <v>Low (1-10%)</v>
      </c>
    </row>
    <row r="688" spans="1:19" x14ac:dyDescent="0.2">
      <c r="A688" t="s">
        <v>1411</v>
      </c>
      <c r="B688" s="3" t="s">
        <v>598</v>
      </c>
      <c r="C688" t="s">
        <v>186</v>
      </c>
      <c r="D688" t="s">
        <v>27</v>
      </c>
      <c r="E688" t="s">
        <v>124</v>
      </c>
      <c r="F688" t="s">
        <v>55</v>
      </c>
      <c r="G688" t="s">
        <v>98</v>
      </c>
      <c r="H688" t="s">
        <v>99</v>
      </c>
      <c r="I688" s="4">
        <v>1983.78</v>
      </c>
      <c r="J688">
        <v>6</v>
      </c>
      <c r="K688" s="2">
        <v>0.2</v>
      </c>
      <c r="L688" s="4">
        <v>348.25</v>
      </c>
      <c r="M688" t="s">
        <v>63</v>
      </c>
      <c r="N688" t="s">
        <v>76</v>
      </c>
      <c r="O688">
        <f>YEAR(Table1[[#This Row],[Order Date]])</f>
        <v>2025</v>
      </c>
      <c r="P688" t="str">
        <f>TEXT(Table1[[#This Row],[Order Date]],"mmmm")</f>
        <v>September</v>
      </c>
      <c r="Q688" t="str">
        <f>TEXT(Table1[[#This Row],[Order Date]],"mm")</f>
        <v>09</v>
      </c>
      <c r="R688" s="2">
        <f>Table1[[#This Row],[Profit]]/Table1[[#This Row],[Sales]]</f>
        <v>0.17554869995664843</v>
      </c>
      <c r="S688" t="str">
        <f t="shared" si="10"/>
        <v>Medium (11-20%)</v>
      </c>
    </row>
    <row r="689" spans="1:19" x14ac:dyDescent="0.2">
      <c r="A689" t="s">
        <v>1412</v>
      </c>
      <c r="B689" s="3" t="s">
        <v>1413</v>
      </c>
      <c r="C689" t="s">
        <v>324</v>
      </c>
      <c r="D689" t="s">
        <v>137</v>
      </c>
      <c r="E689" t="s">
        <v>160</v>
      </c>
      <c r="F689" t="s">
        <v>67</v>
      </c>
      <c r="G689" t="s">
        <v>85</v>
      </c>
      <c r="H689" t="s">
        <v>86</v>
      </c>
      <c r="I689" s="4">
        <v>1589.28</v>
      </c>
      <c r="J689">
        <v>7</v>
      </c>
      <c r="K689" s="2">
        <v>0</v>
      </c>
      <c r="L689" s="4">
        <v>698.36</v>
      </c>
      <c r="M689" t="s">
        <v>195</v>
      </c>
      <c r="N689" t="s">
        <v>32</v>
      </c>
      <c r="O689">
        <f>YEAR(Table1[[#This Row],[Order Date]])</f>
        <v>2025</v>
      </c>
      <c r="P689" t="str">
        <f>TEXT(Table1[[#This Row],[Order Date]],"mmmm")</f>
        <v>October</v>
      </c>
      <c r="Q689" t="str">
        <f>TEXT(Table1[[#This Row],[Order Date]],"mm")</f>
        <v>10</v>
      </c>
      <c r="R689" s="2">
        <f>Table1[[#This Row],[Profit]]/Table1[[#This Row],[Sales]]</f>
        <v>0.43941910802375922</v>
      </c>
      <c r="S689" t="str">
        <f t="shared" si="10"/>
        <v>No Discount</v>
      </c>
    </row>
    <row r="690" spans="1:19" x14ac:dyDescent="0.2">
      <c r="A690" t="s">
        <v>1414</v>
      </c>
      <c r="B690" s="3" t="s">
        <v>417</v>
      </c>
      <c r="C690" t="s">
        <v>1343</v>
      </c>
      <c r="D690" t="s">
        <v>27</v>
      </c>
      <c r="E690" t="s">
        <v>43</v>
      </c>
      <c r="F690" t="s">
        <v>19</v>
      </c>
      <c r="G690" t="s">
        <v>20</v>
      </c>
      <c r="H690" t="s">
        <v>21</v>
      </c>
      <c r="I690" s="4">
        <v>4210.38</v>
      </c>
      <c r="J690">
        <v>9</v>
      </c>
      <c r="K690" s="2">
        <v>0</v>
      </c>
      <c r="L690" s="4">
        <v>604.94000000000005</v>
      </c>
      <c r="M690" t="s">
        <v>38</v>
      </c>
      <c r="N690" t="s">
        <v>76</v>
      </c>
      <c r="O690">
        <f>YEAR(Table1[[#This Row],[Order Date]])</f>
        <v>2024</v>
      </c>
      <c r="P690" t="str">
        <f>TEXT(Table1[[#This Row],[Order Date]],"mmmm")</f>
        <v>March</v>
      </c>
      <c r="Q690" t="str">
        <f>TEXT(Table1[[#This Row],[Order Date]],"mm")</f>
        <v>03</v>
      </c>
      <c r="R690" s="2">
        <f>Table1[[#This Row],[Profit]]/Table1[[#This Row],[Sales]]</f>
        <v>0.14367824281893796</v>
      </c>
      <c r="S690" t="str">
        <f t="shared" si="10"/>
        <v>No Discount</v>
      </c>
    </row>
    <row r="691" spans="1:19" x14ac:dyDescent="0.2">
      <c r="A691" t="s">
        <v>1415</v>
      </c>
      <c r="B691" s="3" t="s">
        <v>1416</v>
      </c>
      <c r="C691" t="s">
        <v>637</v>
      </c>
      <c r="D691" t="s">
        <v>17</v>
      </c>
      <c r="E691" t="s">
        <v>80</v>
      </c>
      <c r="F691" t="s">
        <v>55</v>
      </c>
      <c r="G691" t="s">
        <v>74</v>
      </c>
      <c r="H691" t="s">
        <v>272</v>
      </c>
      <c r="I691" s="4">
        <v>1697.4</v>
      </c>
      <c r="J691">
        <v>5</v>
      </c>
      <c r="K691" s="2">
        <v>0</v>
      </c>
      <c r="L691" s="4">
        <v>170.22</v>
      </c>
      <c r="M691" t="s">
        <v>22</v>
      </c>
      <c r="N691" t="s">
        <v>32</v>
      </c>
      <c r="O691">
        <f>YEAR(Table1[[#This Row],[Order Date]])</f>
        <v>2024</v>
      </c>
      <c r="P691" t="str">
        <f>TEXT(Table1[[#This Row],[Order Date]],"mmmm")</f>
        <v>October</v>
      </c>
      <c r="Q691" t="str">
        <f>TEXT(Table1[[#This Row],[Order Date]],"mm")</f>
        <v>10</v>
      </c>
      <c r="R691" s="2">
        <f>Table1[[#This Row],[Profit]]/Table1[[#This Row],[Sales]]</f>
        <v>0.10028278543655002</v>
      </c>
      <c r="S691" t="str">
        <f t="shared" si="10"/>
        <v>No Discount</v>
      </c>
    </row>
    <row r="692" spans="1:19" x14ac:dyDescent="0.2">
      <c r="A692" t="s">
        <v>1417</v>
      </c>
      <c r="B692" s="3" t="s">
        <v>95</v>
      </c>
      <c r="C692" t="s">
        <v>271</v>
      </c>
      <c r="D692" t="s">
        <v>137</v>
      </c>
      <c r="E692" t="s">
        <v>160</v>
      </c>
      <c r="F692" t="s">
        <v>19</v>
      </c>
      <c r="G692" t="s">
        <v>20</v>
      </c>
      <c r="H692" t="s">
        <v>21</v>
      </c>
      <c r="I692" s="4">
        <v>8394.0499999999993</v>
      </c>
      <c r="J692">
        <v>7</v>
      </c>
      <c r="K692" s="2">
        <v>0.3</v>
      </c>
      <c r="L692" s="4">
        <v>-65.37</v>
      </c>
      <c r="M692" t="s">
        <v>38</v>
      </c>
      <c r="N692" t="s">
        <v>32</v>
      </c>
      <c r="O692">
        <f>YEAR(Table1[[#This Row],[Order Date]])</f>
        <v>2025</v>
      </c>
      <c r="P692" t="str">
        <f>TEXT(Table1[[#This Row],[Order Date]],"mmmm")</f>
        <v>March</v>
      </c>
      <c r="Q692" t="str">
        <f>TEXT(Table1[[#This Row],[Order Date]],"mm")</f>
        <v>03</v>
      </c>
      <c r="R692" s="2">
        <f>Table1[[#This Row],[Profit]]/Table1[[#This Row],[Sales]]</f>
        <v>-7.7876591156831338E-3</v>
      </c>
      <c r="S692" t="str">
        <f t="shared" si="10"/>
        <v>High (21-30%)</v>
      </c>
    </row>
    <row r="693" spans="1:19" x14ac:dyDescent="0.2">
      <c r="A693" t="s">
        <v>1418</v>
      </c>
      <c r="B693" s="3" t="s">
        <v>1066</v>
      </c>
      <c r="C693" t="s">
        <v>535</v>
      </c>
      <c r="D693" t="s">
        <v>137</v>
      </c>
      <c r="E693" t="s">
        <v>138</v>
      </c>
      <c r="F693" t="s">
        <v>67</v>
      </c>
      <c r="G693" t="s">
        <v>68</v>
      </c>
      <c r="H693" t="s">
        <v>69</v>
      </c>
      <c r="I693" s="4">
        <v>4253.92</v>
      </c>
      <c r="J693">
        <v>4</v>
      </c>
      <c r="K693" s="2">
        <v>0.1</v>
      </c>
      <c r="L693" s="4">
        <v>152.75</v>
      </c>
      <c r="M693" t="s">
        <v>87</v>
      </c>
      <c r="N693" t="s">
        <v>76</v>
      </c>
      <c r="O693">
        <f>YEAR(Table1[[#This Row],[Order Date]])</f>
        <v>2025</v>
      </c>
      <c r="P693" t="str">
        <f>TEXT(Table1[[#This Row],[Order Date]],"mmmm")</f>
        <v>March</v>
      </c>
      <c r="Q693" t="str">
        <f>TEXT(Table1[[#This Row],[Order Date]],"mm")</f>
        <v>03</v>
      </c>
      <c r="R693" s="2">
        <f>Table1[[#This Row],[Profit]]/Table1[[#This Row],[Sales]]</f>
        <v>3.590805656899989E-2</v>
      </c>
      <c r="S693" t="str">
        <f t="shared" si="10"/>
        <v>Low (1-10%)</v>
      </c>
    </row>
    <row r="694" spans="1:19" x14ac:dyDescent="0.2">
      <c r="A694" t="s">
        <v>1419</v>
      </c>
      <c r="B694" s="3" t="s">
        <v>658</v>
      </c>
      <c r="C694" t="s">
        <v>1106</v>
      </c>
      <c r="D694" t="s">
        <v>27</v>
      </c>
      <c r="E694" t="s">
        <v>28</v>
      </c>
      <c r="F694" t="s">
        <v>67</v>
      </c>
      <c r="G694" t="s">
        <v>115</v>
      </c>
      <c r="H694" t="s">
        <v>212</v>
      </c>
      <c r="I694" s="4">
        <v>1199.71</v>
      </c>
      <c r="J694">
        <v>1</v>
      </c>
      <c r="K694" s="2">
        <v>0</v>
      </c>
      <c r="L694" s="4">
        <v>304.26</v>
      </c>
      <c r="M694" t="s">
        <v>143</v>
      </c>
      <c r="N694" t="s">
        <v>23</v>
      </c>
      <c r="O694">
        <f>YEAR(Table1[[#This Row],[Order Date]])</f>
        <v>2024</v>
      </c>
      <c r="P694" t="str">
        <f>TEXT(Table1[[#This Row],[Order Date]],"mmmm")</f>
        <v>August</v>
      </c>
      <c r="Q694" t="str">
        <f>TEXT(Table1[[#This Row],[Order Date]],"mm")</f>
        <v>08</v>
      </c>
      <c r="R694" s="2">
        <f>Table1[[#This Row],[Profit]]/Table1[[#This Row],[Sales]]</f>
        <v>0.2536112893949371</v>
      </c>
      <c r="S694" t="str">
        <f t="shared" si="10"/>
        <v>No Discount</v>
      </c>
    </row>
    <row r="695" spans="1:19" x14ac:dyDescent="0.2">
      <c r="A695" t="s">
        <v>1420</v>
      </c>
      <c r="B695" s="3" t="s">
        <v>315</v>
      </c>
      <c r="C695" t="s">
        <v>450</v>
      </c>
      <c r="D695" t="s">
        <v>27</v>
      </c>
      <c r="E695" t="s">
        <v>28</v>
      </c>
      <c r="F695" t="s">
        <v>19</v>
      </c>
      <c r="G695" t="s">
        <v>36</v>
      </c>
      <c r="H695" t="s">
        <v>222</v>
      </c>
      <c r="I695" s="4">
        <v>1341.54</v>
      </c>
      <c r="J695">
        <v>2</v>
      </c>
      <c r="K695" s="2">
        <v>0.2</v>
      </c>
      <c r="L695" s="4">
        <v>-163.34</v>
      </c>
      <c r="M695" t="s">
        <v>22</v>
      </c>
      <c r="N695" t="s">
        <v>76</v>
      </c>
      <c r="O695">
        <f>YEAR(Table1[[#This Row],[Order Date]])</f>
        <v>2024</v>
      </c>
      <c r="P695" t="str">
        <f>TEXT(Table1[[#This Row],[Order Date]],"mmmm")</f>
        <v>September</v>
      </c>
      <c r="Q695" t="str">
        <f>TEXT(Table1[[#This Row],[Order Date]],"mm")</f>
        <v>09</v>
      </c>
      <c r="R695" s="2">
        <f>Table1[[#This Row],[Profit]]/Table1[[#This Row],[Sales]]</f>
        <v>-0.12175559431697899</v>
      </c>
      <c r="S695" t="str">
        <f t="shared" si="10"/>
        <v>Medium (11-20%)</v>
      </c>
    </row>
    <row r="696" spans="1:19" x14ac:dyDescent="0.2">
      <c r="A696" t="s">
        <v>1421</v>
      </c>
      <c r="B696" s="3" t="s">
        <v>420</v>
      </c>
      <c r="C696" t="s">
        <v>530</v>
      </c>
      <c r="D696" t="s">
        <v>48</v>
      </c>
      <c r="E696" t="s">
        <v>84</v>
      </c>
      <c r="F696" t="s">
        <v>67</v>
      </c>
      <c r="G696" t="s">
        <v>68</v>
      </c>
      <c r="H696" t="s">
        <v>103</v>
      </c>
      <c r="I696" s="4">
        <v>3846.44</v>
      </c>
      <c r="J696">
        <v>4</v>
      </c>
      <c r="K696" s="2">
        <v>0</v>
      </c>
      <c r="L696" s="4">
        <v>201.11</v>
      </c>
      <c r="M696" t="s">
        <v>44</v>
      </c>
      <c r="N696" t="s">
        <v>32</v>
      </c>
      <c r="O696">
        <f>YEAR(Table1[[#This Row],[Order Date]])</f>
        <v>2024</v>
      </c>
      <c r="P696" t="str">
        <f>TEXT(Table1[[#This Row],[Order Date]],"mmmm")</f>
        <v>July</v>
      </c>
      <c r="Q696" t="str">
        <f>TEXT(Table1[[#This Row],[Order Date]],"mm")</f>
        <v>07</v>
      </c>
      <c r="R696" s="2">
        <f>Table1[[#This Row],[Profit]]/Table1[[#This Row],[Sales]]</f>
        <v>5.2284710017574697E-2</v>
      </c>
      <c r="S696" t="str">
        <f t="shared" si="10"/>
        <v>No Discount</v>
      </c>
    </row>
    <row r="697" spans="1:19" x14ac:dyDescent="0.2">
      <c r="A697" t="s">
        <v>1422</v>
      </c>
      <c r="B697" s="3" t="s">
        <v>1423</v>
      </c>
      <c r="C697" t="s">
        <v>256</v>
      </c>
      <c r="D697" t="s">
        <v>48</v>
      </c>
      <c r="E697" t="s">
        <v>49</v>
      </c>
      <c r="F697" t="s">
        <v>55</v>
      </c>
      <c r="G697" t="s">
        <v>98</v>
      </c>
      <c r="H697" t="s">
        <v>150</v>
      </c>
      <c r="I697" s="4">
        <v>7954.8</v>
      </c>
      <c r="J697">
        <v>10</v>
      </c>
      <c r="K697" s="2">
        <v>0.3</v>
      </c>
      <c r="L697" s="4">
        <v>-1702.69</v>
      </c>
      <c r="M697" t="s">
        <v>63</v>
      </c>
      <c r="N697" t="s">
        <v>32</v>
      </c>
      <c r="O697">
        <f>YEAR(Table1[[#This Row],[Order Date]])</f>
        <v>2025</v>
      </c>
      <c r="P697" t="str">
        <f>TEXT(Table1[[#This Row],[Order Date]],"mmmm")</f>
        <v>September</v>
      </c>
      <c r="Q697" t="str">
        <f>TEXT(Table1[[#This Row],[Order Date]],"mm")</f>
        <v>09</v>
      </c>
      <c r="R697" s="2">
        <f>Table1[[#This Row],[Profit]]/Table1[[#This Row],[Sales]]</f>
        <v>-0.21404560768341127</v>
      </c>
      <c r="S697" t="str">
        <f t="shared" si="10"/>
        <v>High (21-30%)</v>
      </c>
    </row>
    <row r="698" spans="1:19" x14ac:dyDescent="0.2">
      <c r="A698" t="s">
        <v>1424</v>
      </c>
      <c r="B698" s="3" t="s">
        <v>1425</v>
      </c>
      <c r="C698" t="s">
        <v>271</v>
      </c>
      <c r="D698" t="s">
        <v>27</v>
      </c>
      <c r="E698" t="s">
        <v>28</v>
      </c>
      <c r="F698" t="s">
        <v>19</v>
      </c>
      <c r="G698" t="s">
        <v>29</v>
      </c>
      <c r="H698" t="s">
        <v>50</v>
      </c>
      <c r="I698" s="4">
        <v>11554.6</v>
      </c>
      <c r="J698">
        <v>10</v>
      </c>
      <c r="K698" s="2">
        <v>0.25</v>
      </c>
      <c r="L698" s="4">
        <v>1124.8499999999999</v>
      </c>
      <c r="M698" t="s">
        <v>22</v>
      </c>
      <c r="N698" t="s">
        <v>39</v>
      </c>
      <c r="O698">
        <f>YEAR(Table1[[#This Row],[Order Date]])</f>
        <v>2024</v>
      </c>
      <c r="P698" t="str">
        <f>TEXT(Table1[[#This Row],[Order Date]],"mmmm")</f>
        <v>July</v>
      </c>
      <c r="Q698" t="str">
        <f>TEXT(Table1[[#This Row],[Order Date]],"mm")</f>
        <v>07</v>
      </c>
      <c r="R698" s="2">
        <f>Table1[[#This Row],[Profit]]/Table1[[#This Row],[Sales]]</f>
        <v>9.7350838627040304E-2</v>
      </c>
      <c r="S698" t="str">
        <f t="shared" si="10"/>
        <v>High (21-30%)</v>
      </c>
    </row>
    <row r="699" spans="1:19" x14ac:dyDescent="0.2">
      <c r="A699" t="s">
        <v>1426</v>
      </c>
      <c r="B699" s="3" t="s">
        <v>1427</v>
      </c>
      <c r="C699" t="s">
        <v>1056</v>
      </c>
      <c r="D699" t="s">
        <v>27</v>
      </c>
      <c r="E699" t="s">
        <v>43</v>
      </c>
      <c r="F699" t="s">
        <v>19</v>
      </c>
      <c r="G699" t="s">
        <v>29</v>
      </c>
      <c r="H699" t="s">
        <v>50</v>
      </c>
      <c r="I699" s="4">
        <v>418.38</v>
      </c>
      <c r="J699">
        <v>3</v>
      </c>
      <c r="K699" s="2">
        <v>0.1</v>
      </c>
      <c r="L699" s="4">
        <v>-20.74</v>
      </c>
      <c r="M699" t="s">
        <v>195</v>
      </c>
      <c r="N699" t="s">
        <v>23</v>
      </c>
      <c r="O699">
        <f>YEAR(Table1[[#This Row],[Order Date]])</f>
        <v>2024</v>
      </c>
      <c r="P699" t="str">
        <f>TEXT(Table1[[#This Row],[Order Date]],"mmmm")</f>
        <v>June</v>
      </c>
      <c r="Q699" t="str">
        <f>TEXT(Table1[[#This Row],[Order Date]],"mm")</f>
        <v>06</v>
      </c>
      <c r="R699" s="2">
        <f>Table1[[#This Row],[Profit]]/Table1[[#This Row],[Sales]]</f>
        <v>-4.9572159281036372E-2</v>
      </c>
      <c r="S699" t="str">
        <f t="shared" si="10"/>
        <v>Low (1-10%)</v>
      </c>
    </row>
    <row r="700" spans="1:19" x14ac:dyDescent="0.2">
      <c r="A700" t="s">
        <v>1428</v>
      </c>
      <c r="B700" s="3" t="s">
        <v>1429</v>
      </c>
      <c r="C700" t="s">
        <v>96</v>
      </c>
      <c r="D700" t="s">
        <v>137</v>
      </c>
      <c r="E700" t="s">
        <v>242</v>
      </c>
      <c r="F700" t="s">
        <v>19</v>
      </c>
      <c r="G700" t="s">
        <v>29</v>
      </c>
      <c r="H700" t="s">
        <v>30</v>
      </c>
      <c r="I700" s="4">
        <v>2846.73</v>
      </c>
      <c r="J700">
        <v>3</v>
      </c>
      <c r="K700" s="2">
        <v>0.25</v>
      </c>
      <c r="L700" s="4">
        <v>-165.2</v>
      </c>
      <c r="M700" t="s">
        <v>87</v>
      </c>
      <c r="N700" t="s">
        <v>23</v>
      </c>
      <c r="O700">
        <f>YEAR(Table1[[#This Row],[Order Date]])</f>
        <v>2025</v>
      </c>
      <c r="P700" t="str">
        <f>TEXT(Table1[[#This Row],[Order Date]],"mmmm")</f>
        <v>August</v>
      </c>
      <c r="Q700" t="str">
        <f>TEXT(Table1[[#This Row],[Order Date]],"mm")</f>
        <v>08</v>
      </c>
      <c r="R700" s="2">
        <f>Table1[[#This Row],[Profit]]/Table1[[#This Row],[Sales]]</f>
        <v>-5.8031495786393508E-2</v>
      </c>
      <c r="S700" t="str">
        <f t="shared" si="10"/>
        <v>High (21-30%)</v>
      </c>
    </row>
    <row r="701" spans="1:19" x14ac:dyDescent="0.2">
      <c r="A701" t="s">
        <v>1430</v>
      </c>
      <c r="B701" s="3" t="s">
        <v>1431</v>
      </c>
      <c r="C701" t="s">
        <v>1205</v>
      </c>
      <c r="D701" t="s">
        <v>17</v>
      </c>
      <c r="E701" t="s">
        <v>80</v>
      </c>
      <c r="F701" t="s">
        <v>19</v>
      </c>
      <c r="G701" t="s">
        <v>29</v>
      </c>
      <c r="H701" t="s">
        <v>199</v>
      </c>
      <c r="I701" s="4">
        <v>371.29</v>
      </c>
      <c r="J701">
        <v>1</v>
      </c>
      <c r="K701" s="2">
        <v>0.05</v>
      </c>
      <c r="L701" s="4">
        <v>147.77000000000001</v>
      </c>
      <c r="M701" t="s">
        <v>143</v>
      </c>
      <c r="N701" t="s">
        <v>23</v>
      </c>
      <c r="O701">
        <f>YEAR(Table1[[#This Row],[Order Date]])</f>
        <v>2025</v>
      </c>
      <c r="P701" t="str">
        <f>TEXT(Table1[[#This Row],[Order Date]],"mmmm")</f>
        <v>August</v>
      </c>
      <c r="Q701" t="str">
        <f>TEXT(Table1[[#This Row],[Order Date]],"mm")</f>
        <v>08</v>
      </c>
      <c r="R701" s="2">
        <f>Table1[[#This Row],[Profit]]/Table1[[#This Row],[Sales]]</f>
        <v>0.39799078887123274</v>
      </c>
      <c r="S701" t="str">
        <f t="shared" si="10"/>
        <v>Low (1-10%)</v>
      </c>
    </row>
    <row r="702" spans="1:19" x14ac:dyDescent="0.2">
      <c r="A702" t="s">
        <v>1432</v>
      </c>
      <c r="B702" s="3" t="s">
        <v>1312</v>
      </c>
      <c r="C702" t="s">
        <v>1433</v>
      </c>
      <c r="D702" t="s">
        <v>17</v>
      </c>
      <c r="E702" t="s">
        <v>54</v>
      </c>
      <c r="F702" t="s">
        <v>55</v>
      </c>
      <c r="G702" t="s">
        <v>56</v>
      </c>
      <c r="H702" t="s">
        <v>129</v>
      </c>
      <c r="I702" s="4">
        <v>5668.98</v>
      </c>
      <c r="J702">
        <v>6</v>
      </c>
      <c r="K702" s="2">
        <v>0.1</v>
      </c>
      <c r="L702" s="4">
        <v>1208.2</v>
      </c>
      <c r="M702" t="s">
        <v>38</v>
      </c>
      <c r="N702" t="s">
        <v>23</v>
      </c>
      <c r="O702">
        <f>YEAR(Table1[[#This Row],[Order Date]])</f>
        <v>2025</v>
      </c>
      <c r="P702" t="str">
        <f>TEXT(Table1[[#This Row],[Order Date]],"mmmm")</f>
        <v>July</v>
      </c>
      <c r="Q702" t="str">
        <f>TEXT(Table1[[#This Row],[Order Date]],"mm")</f>
        <v>07</v>
      </c>
      <c r="R702" s="2">
        <f>Table1[[#This Row],[Profit]]/Table1[[#This Row],[Sales]]</f>
        <v>0.21312475965694008</v>
      </c>
      <c r="S702" t="str">
        <f t="shared" si="10"/>
        <v>Low (1-10%)</v>
      </c>
    </row>
    <row r="703" spans="1:19" x14ac:dyDescent="0.2">
      <c r="A703" t="s">
        <v>1434</v>
      </c>
      <c r="B703" s="3" t="s">
        <v>1435</v>
      </c>
      <c r="C703" t="s">
        <v>205</v>
      </c>
      <c r="D703" t="s">
        <v>137</v>
      </c>
      <c r="E703" t="s">
        <v>142</v>
      </c>
      <c r="F703" t="s">
        <v>55</v>
      </c>
      <c r="G703" t="s">
        <v>56</v>
      </c>
      <c r="H703" t="s">
        <v>62</v>
      </c>
      <c r="I703" s="4">
        <v>4712.24</v>
      </c>
      <c r="J703">
        <v>4</v>
      </c>
      <c r="K703" s="2">
        <v>0.25</v>
      </c>
      <c r="L703" s="4">
        <v>719.58</v>
      </c>
      <c r="M703" t="s">
        <v>107</v>
      </c>
      <c r="N703" t="s">
        <v>39</v>
      </c>
      <c r="O703">
        <f>YEAR(Table1[[#This Row],[Order Date]])</f>
        <v>2024</v>
      </c>
      <c r="P703" t="str">
        <f>TEXT(Table1[[#This Row],[Order Date]],"mmmm")</f>
        <v>November</v>
      </c>
      <c r="Q703" t="str">
        <f>TEXT(Table1[[#This Row],[Order Date]],"mm")</f>
        <v>11</v>
      </c>
      <c r="R703" s="2">
        <f>Table1[[#This Row],[Profit]]/Table1[[#This Row],[Sales]]</f>
        <v>0.1527044462930581</v>
      </c>
      <c r="S703" t="str">
        <f t="shared" si="10"/>
        <v>High (21-30%)</v>
      </c>
    </row>
    <row r="704" spans="1:19" x14ac:dyDescent="0.2">
      <c r="A704" t="s">
        <v>1436</v>
      </c>
      <c r="B704" s="3" t="s">
        <v>998</v>
      </c>
      <c r="C704" t="s">
        <v>166</v>
      </c>
      <c r="D704" t="s">
        <v>17</v>
      </c>
      <c r="E704" t="s">
        <v>80</v>
      </c>
      <c r="F704" t="s">
        <v>55</v>
      </c>
      <c r="G704" t="s">
        <v>56</v>
      </c>
      <c r="H704" t="s">
        <v>129</v>
      </c>
      <c r="I704" s="4">
        <v>1923.1</v>
      </c>
      <c r="J704">
        <v>10</v>
      </c>
      <c r="K704" s="2">
        <v>0.15</v>
      </c>
      <c r="L704" s="4">
        <v>-172.91</v>
      </c>
      <c r="M704" t="s">
        <v>22</v>
      </c>
      <c r="N704" t="s">
        <v>32</v>
      </c>
      <c r="O704">
        <f>YEAR(Table1[[#This Row],[Order Date]])</f>
        <v>2025</v>
      </c>
      <c r="P704" t="str">
        <f>TEXT(Table1[[#This Row],[Order Date]],"mmmm")</f>
        <v>August</v>
      </c>
      <c r="Q704" t="str">
        <f>TEXT(Table1[[#This Row],[Order Date]],"mm")</f>
        <v>08</v>
      </c>
      <c r="R704" s="2">
        <f>Table1[[#This Row],[Profit]]/Table1[[#This Row],[Sales]]</f>
        <v>-8.991212105454735E-2</v>
      </c>
      <c r="S704" t="str">
        <f t="shared" si="10"/>
        <v>Medium (11-20%)</v>
      </c>
    </row>
    <row r="705" spans="1:19" x14ac:dyDescent="0.2">
      <c r="A705" t="s">
        <v>1437</v>
      </c>
      <c r="B705" s="3" t="s">
        <v>510</v>
      </c>
      <c r="C705" t="s">
        <v>367</v>
      </c>
      <c r="D705" t="s">
        <v>17</v>
      </c>
      <c r="E705" t="s">
        <v>54</v>
      </c>
      <c r="F705" t="s">
        <v>19</v>
      </c>
      <c r="G705" t="s">
        <v>36</v>
      </c>
      <c r="H705" t="s">
        <v>222</v>
      </c>
      <c r="I705" s="4">
        <v>265.52</v>
      </c>
      <c r="J705">
        <v>8</v>
      </c>
      <c r="K705" s="2">
        <v>0.25</v>
      </c>
      <c r="L705" s="4">
        <v>48.09</v>
      </c>
      <c r="M705" t="s">
        <v>31</v>
      </c>
      <c r="N705" t="s">
        <v>32</v>
      </c>
      <c r="O705">
        <f>YEAR(Table1[[#This Row],[Order Date]])</f>
        <v>2025</v>
      </c>
      <c r="P705" t="str">
        <f>TEXT(Table1[[#This Row],[Order Date]],"mmmm")</f>
        <v>June</v>
      </c>
      <c r="Q705" t="str">
        <f>TEXT(Table1[[#This Row],[Order Date]],"mm")</f>
        <v>06</v>
      </c>
      <c r="R705" s="2">
        <f>Table1[[#This Row],[Profit]]/Table1[[#This Row],[Sales]]</f>
        <v>0.1811163000903887</v>
      </c>
      <c r="S705" t="str">
        <f t="shared" si="10"/>
        <v>High (21-30%)</v>
      </c>
    </row>
    <row r="706" spans="1:19" x14ac:dyDescent="0.2">
      <c r="A706" t="s">
        <v>1438</v>
      </c>
      <c r="B706" s="3" t="s">
        <v>1066</v>
      </c>
      <c r="C706" t="s">
        <v>1439</v>
      </c>
      <c r="D706" t="s">
        <v>17</v>
      </c>
      <c r="E706" t="s">
        <v>18</v>
      </c>
      <c r="F706" t="s">
        <v>67</v>
      </c>
      <c r="G706" t="s">
        <v>85</v>
      </c>
      <c r="H706" t="s">
        <v>253</v>
      </c>
      <c r="I706" s="4">
        <v>806.16</v>
      </c>
      <c r="J706">
        <v>8</v>
      </c>
      <c r="K706" s="2">
        <v>0.3</v>
      </c>
      <c r="L706" s="4">
        <v>58.72</v>
      </c>
      <c r="M706" t="s">
        <v>63</v>
      </c>
      <c r="N706" t="s">
        <v>23</v>
      </c>
      <c r="O706">
        <f>YEAR(Table1[[#This Row],[Order Date]])</f>
        <v>2025</v>
      </c>
      <c r="P706" t="str">
        <f>TEXT(Table1[[#This Row],[Order Date]],"mmmm")</f>
        <v>March</v>
      </c>
      <c r="Q706" t="str">
        <f>TEXT(Table1[[#This Row],[Order Date]],"mm")</f>
        <v>03</v>
      </c>
      <c r="R706" s="2">
        <f>Table1[[#This Row],[Profit]]/Table1[[#This Row],[Sales]]</f>
        <v>7.2839138632529526E-2</v>
      </c>
      <c r="S706" t="str">
        <f t="shared" ref="S706:S769" si="11">IF(K706=0,"No Discount",
IF(K706&lt;=0.1,"Low (1-10%)",
IF(K706&lt;=0.2,"Medium (11-20%)",
IF(K706&lt;=0.3,"High (21-30%)","Very High (&gt;30%)"))))</f>
        <v>High (21-30%)</v>
      </c>
    </row>
    <row r="707" spans="1:19" x14ac:dyDescent="0.2">
      <c r="A707" t="s">
        <v>1440</v>
      </c>
      <c r="B707" s="3" t="s">
        <v>1441</v>
      </c>
      <c r="C707" t="s">
        <v>346</v>
      </c>
      <c r="D707" t="s">
        <v>17</v>
      </c>
      <c r="E707" t="s">
        <v>18</v>
      </c>
      <c r="F707" t="s">
        <v>67</v>
      </c>
      <c r="G707" t="s">
        <v>68</v>
      </c>
      <c r="H707" t="s">
        <v>103</v>
      </c>
      <c r="I707" s="4">
        <v>2829.36</v>
      </c>
      <c r="J707">
        <v>3</v>
      </c>
      <c r="K707" s="2">
        <v>0.1</v>
      </c>
      <c r="L707" s="4">
        <v>10.56</v>
      </c>
      <c r="M707" t="s">
        <v>31</v>
      </c>
      <c r="N707" t="s">
        <v>39</v>
      </c>
      <c r="O707">
        <f>YEAR(Table1[[#This Row],[Order Date]])</f>
        <v>2024</v>
      </c>
      <c r="P707" t="str">
        <f>TEXT(Table1[[#This Row],[Order Date]],"mmmm")</f>
        <v>June</v>
      </c>
      <c r="Q707" t="str">
        <f>TEXT(Table1[[#This Row],[Order Date]],"mm")</f>
        <v>06</v>
      </c>
      <c r="R707" s="2">
        <f>Table1[[#This Row],[Profit]]/Table1[[#This Row],[Sales]]</f>
        <v>3.7322928153363305E-3</v>
      </c>
      <c r="S707" t="str">
        <f t="shared" si="11"/>
        <v>Low (1-10%)</v>
      </c>
    </row>
    <row r="708" spans="1:19" x14ac:dyDescent="0.2">
      <c r="A708" t="s">
        <v>1442</v>
      </c>
      <c r="B708" s="3" t="s">
        <v>1443</v>
      </c>
      <c r="C708" t="s">
        <v>851</v>
      </c>
      <c r="D708" t="s">
        <v>27</v>
      </c>
      <c r="E708" t="s">
        <v>28</v>
      </c>
      <c r="F708" t="s">
        <v>67</v>
      </c>
      <c r="G708" t="s">
        <v>68</v>
      </c>
      <c r="H708" t="s">
        <v>103</v>
      </c>
      <c r="I708" s="4">
        <v>5390.2</v>
      </c>
      <c r="J708">
        <v>10</v>
      </c>
      <c r="K708" s="2">
        <v>0</v>
      </c>
      <c r="L708" s="4">
        <v>2320.46</v>
      </c>
      <c r="M708" t="s">
        <v>31</v>
      </c>
      <c r="N708" t="s">
        <v>39</v>
      </c>
      <c r="O708">
        <f>YEAR(Table1[[#This Row],[Order Date]])</f>
        <v>2025</v>
      </c>
      <c r="P708" t="str">
        <f>TEXT(Table1[[#This Row],[Order Date]],"mmmm")</f>
        <v>July</v>
      </c>
      <c r="Q708" t="str">
        <f>TEXT(Table1[[#This Row],[Order Date]],"mm")</f>
        <v>07</v>
      </c>
      <c r="R708" s="2">
        <f>Table1[[#This Row],[Profit]]/Table1[[#This Row],[Sales]]</f>
        <v>0.43049608548847912</v>
      </c>
      <c r="S708" t="str">
        <f t="shared" si="11"/>
        <v>No Discount</v>
      </c>
    </row>
    <row r="709" spans="1:19" x14ac:dyDescent="0.2">
      <c r="A709" t="s">
        <v>1444</v>
      </c>
      <c r="B709" s="3" t="s">
        <v>384</v>
      </c>
      <c r="C709" t="s">
        <v>1354</v>
      </c>
      <c r="D709" t="s">
        <v>137</v>
      </c>
      <c r="E709" t="s">
        <v>160</v>
      </c>
      <c r="F709" t="s">
        <v>55</v>
      </c>
      <c r="G709" t="s">
        <v>74</v>
      </c>
      <c r="H709" t="s">
        <v>272</v>
      </c>
      <c r="I709" s="4">
        <v>6185.6</v>
      </c>
      <c r="J709">
        <v>10</v>
      </c>
      <c r="K709" s="2">
        <v>0.15</v>
      </c>
      <c r="L709" s="4">
        <v>737.97</v>
      </c>
      <c r="M709" t="s">
        <v>195</v>
      </c>
      <c r="N709" t="s">
        <v>32</v>
      </c>
      <c r="O709">
        <f>YEAR(Table1[[#This Row],[Order Date]])</f>
        <v>2025</v>
      </c>
      <c r="P709" t="str">
        <f>TEXT(Table1[[#This Row],[Order Date]],"mmmm")</f>
        <v>June</v>
      </c>
      <c r="Q709" t="str">
        <f>TEXT(Table1[[#This Row],[Order Date]],"mm")</f>
        <v>06</v>
      </c>
      <c r="R709" s="2">
        <f>Table1[[#This Row],[Profit]]/Table1[[#This Row],[Sales]]</f>
        <v>0.11930451370926022</v>
      </c>
      <c r="S709" t="str">
        <f t="shared" si="11"/>
        <v>Medium (11-20%)</v>
      </c>
    </row>
    <row r="710" spans="1:19" x14ac:dyDescent="0.2">
      <c r="A710" t="s">
        <v>1445</v>
      </c>
      <c r="B710" s="3" t="s">
        <v>1446</v>
      </c>
      <c r="C710" t="s">
        <v>198</v>
      </c>
      <c r="D710" t="s">
        <v>17</v>
      </c>
      <c r="E710" t="s">
        <v>97</v>
      </c>
      <c r="F710" t="s">
        <v>19</v>
      </c>
      <c r="G710" t="s">
        <v>36</v>
      </c>
      <c r="H710" t="s">
        <v>37</v>
      </c>
      <c r="I710" s="4">
        <v>6694.4</v>
      </c>
      <c r="J710">
        <v>10</v>
      </c>
      <c r="K710" s="2">
        <v>0.15</v>
      </c>
      <c r="L710" s="4">
        <v>181.68</v>
      </c>
      <c r="M710" t="s">
        <v>117</v>
      </c>
      <c r="N710" t="s">
        <v>39</v>
      </c>
      <c r="O710">
        <f>YEAR(Table1[[#This Row],[Order Date]])</f>
        <v>2024</v>
      </c>
      <c r="P710" t="str">
        <f>TEXT(Table1[[#This Row],[Order Date]],"mmmm")</f>
        <v>October</v>
      </c>
      <c r="Q710" t="str">
        <f>TEXT(Table1[[#This Row],[Order Date]],"mm")</f>
        <v>10</v>
      </c>
      <c r="R710" s="2">
        <f>Table1[[#This Row],[Profit]]/Table1[[#This Row],[Sales]]</f>
        <v>2.7139101338432125E-2</v>
      </c>
      <c r="S710" t="str">
        <f t="shared" si="11"/>
        <v>Medium (11-20%)</v>
      </c>
    </row>
    <row r="711" spans="1:19" x14ac:dyDescent="0.2">
      <c r="A711" t="s">
        <v>1447</v>
      </c>
      <c r="B711" s="3" t="s">
        <v>1448</v>
      </c>
      <c r="C711" t="s">
        <v>370</v>
      </c>
      <c r="D711" t="s">
        <v>137</v>
      </c>
      <c r="E711" t="s">
        <v>242</v>
      </c>
      <c r="F711" t="s">
        <v>55</v>
      </c>
      <c r="G711" t="s">
        <v>98</v>
      </c>
      <c r="H711" t="s">
        <v>154</v>
      </c>
      <c r="I711" s="4">
        <v>6610.95</v>
      </c>
      <c r="J711">
        <v>9</v>
      </c>
      <c r="K711" s="2">
        <v>0.3</v>
      </c>
      <c r="L711" s="4">
        <v>204.13</v>
      </c>
      <c r="M711" t="s">
        <v>117</v>
      </c>
      <c r="N711" t="s">
        <v>23</v>
      </c>
      <c r="O711">
        <f>YEAR(Table1[[#This Row],[Order Date]])</f>
        <v>2025</v>
      </c>
      <c r="P711" t="str">
        <f>TEXT(Table1[[#This Row],[Order Date]],"mmmm")</f>
        <v>August</v>
      </c>
      <c r="Q711" t="str">
        <f>TEXT(Table1[[#This Row],[Order Date]],"mm")</f>
        <v>08</v>
      </c>
      <c r="R711" s="2">
        <f>Table1[[#This Row],[Profit]]/Table1[[#This Row],[Sales]]</f>
        <v>3.0877559201022545E-2</v>
      </c>
      <c r="S711" t="str">
        <f t="shared" si="11"/>
        <v>High (21-30%)</v>
      </c>
    </row>
    <row r="712" spans="1:19" x14ac:dyDescent="0.2">
      <c r="A712" t="s">
        <v>1449</v>
      </c>
      <c r="B712" s="3" t="s">
        <v>1450</v>
      </c>
      <c r="C712" t="s">
        <v>1195</v>
      </c>
      <c r="D712" t="s">
        <v>48</v>
      </c>
      <c r="E712" t="s">
        <v>84</v>
      </c>
      <c r="F712" t="s">
        <v>67</v>
      </c>
      <c r="G712" t="s">
        <v>68</v>
      </c>
      <c r="H712" t="s">
        <v>382</v>
      </c>
      <c r="I712" s="4">
        <v>2907.75</v>
      </c>
      <c r="J712">
        <v>3</v>
      </c>
      <c r="K712" s="2">
        <v>0.2</v>
      </c>
      <c r="L712" s="4">
        <v>-4.4400000000000004</v>
      </c>
      <c r="M712" t="s">
        <v>38</v>
      </c>
      <c r="N712" t="s">
        <v>23</v>
      </c>
      <c r="O712">
        <f>YEAR(Table1[[#This Row],[Order Date]])</f>
        <v>2025</v>
      </c>
      <c r="P712" t="str">
        <f>TEXT(Table1[[#This Row],[Order Date]],"mmmm")</f>
        <v>December</v>
      </c>
      <c r="Q712" t="str">
        <f>TEXT(Table1[[#This Row],[Order Date]],"mm")</f>
        <v>12</v>
      </c>
      <c r="R712" s="2">
        <f>Table1[[#This Row],[Profit]]/Table1[[#This Row],[Sales]]</f>
        <v>-1.5269538302811454E-3</v>
      </c>
      <c r="S712" t="str">
        <f t="shared" si="11"/>
        <v>Medium (11-20%)</v>
      </c>
    </row>
    <row r="713" spans="1:19" x14ac:dyDescent="0.2">
      <c r="A713" t="s">
        <v>1451</v>
      </c>
      <c r="B713" s="3" t="s">
        <v>1452</v>
      </c>
      <c r="C713" t="s">
        <v>646</v>
      </c>
      <c r="D713" t="s">
        <v>27</v>
      </c>
      <c r="E713" t="s">
        <v>43</v>
      </c>
      <c r="F713" t="s">
        <v>55</v>
      </c>
      <c r="G713" t="s">
        <v>98</v>
      </c>
      <c r="H713" t="s">
        <v>99</v>
      </c>
      <c r="I713" s="4">
        <v>1820.72</v>
      </c>
      <c r="J713">
        <v>2</v>
      </c>
      <c r="K713" s="2">
        <v>0</v>
      </c>
      <c r="L713" s="4">
        <v>523.9</v>
      </c>
      <c r="M713" t="s">
        <v>195</v>
      </c>
      <c r="N713" t="s">
        <v>76</v>
      </c>
      <c r="O713">
        <f>YEAR(Table1[[#This Row],[Order Date]])</f>
        <v>2024</v>
      </c>
      <c r="P713" t="str">
        <f>TEXT(Table1[[#This Row],[Order Date]],"mmmm")</f>
        <v>January</v>
      </c>
      <c r="Q713" t="str">
        <f>TEXT(Table1[[#This Row],[Order Date]],"mm")</f>
        <v>01</v>
      </c>
      <c r="R713" s="2">
        <f>Table1[[#This Row],[Profit]]/Table1[[#This Row],[Sales]]</f>
        <v>0.28774331033876704</v>
      </c>
      <c r="S713" t="str">
        <f t="shared" si="11"/>
        <v>No Discount</v>
      </c>
    </row>
    <row r="714" spans="1:19" x14ac:dyDescent="0.2">
      <c r="A714" t="s">
        <v>1453</v>
      </c>
      <c r="B714" s="3" t="s">
        <v>1454</v>
      </c>
      <c r="C714" t="s">
        <v>96</v>
      </c>
      <c r="D714" t="s">
        <v>27</v>
      </c>
      <c r="E714" t="s">
        <v>61</v>
      </c>
      <c r="F714" t="s">
        <v>19</v>
      </c>
      <c r="G714" t="s">
        <v>36</v>
      </c>
      <c r="H714" t="s">
        <v>111</v>
      </c>
      <c r="I714" s="4">
        <v>9089.84</v>
      </c>
      <c r="J714">
        <v>8</v>
      </c>
      <c r="K714" s="2">
        <v>0.2</v>
      </c>
      <c r="L714" s="4">
        <v>1363.65</v>
      </c>
      <c r="M714" t="s">
        <v>38</v>
      </c>
      <c r="N714" t="s">
        <v>32</v>
      </c>
      <c r="O714">
        <f>YEAR(Table1[[#This Row],[Order Date]])</f>
        <v>2025</v>
      </c>
      <c r="P714" t="str">
        <f>TEXT(Table1[[#This Row],[Order Date]],"mmmm")</f>
        <v>November</v>
      </c>
      <c r="Q714" t="str">
        <f>TEXT(Table1[[#This Row],[Order Date]],"mm")</f>
        <v>11</v>
      </c>
      <c r="R714" s="2">
        <f>Table1[[#This Row],[Profit]]/Table1[[#This Row],[Sales]]</f>
        <v>0.15001914225112875</v>
      </c>
      <c r="S714" t="str">
        <f t="shared" si="11"/>
        <v>Medium (11-20%)</v>
      </c>
    </row>
    <row r="715" spans="1:19" x14ac:dyDescent="0.2">
      <c r="A715" t="s">
        <v>1455</v>
      </c>
      <c r="B715" s="3" t="s">
        <v>277</v>
      </c>
      <c r="C715" t="s">
        <v>256</v>
      </c>
      <c r="D715" t="s">
        <v>27</v>
      </c>
      <c r="E715" t="s">
        <v>61</v>
      </c>
      <c r="F715" t="s">
        <v>19</v>
      </c>
      <c r="G715" t="s">
        <v>20</v>
      </c>
      <c r="H715" t="s">
        <v>21</v>
      </c>
      <c r="I715" s="4">
        <v>385.5</v>
      </c>
      <c r="J715">
        <v>1</v>
      </c>
      <c r="K715" s="2">
        <v>0.3</v>
      </c>
      <c r="L715" s="4">
        <v>-70.930000000000007</v>
      </c>
      <c r="M715" t="s">
        <v>38</v>
      </c>
      <c r="N715" t="s">
        <v>32</v>
      </c>
      <c r="O715">
        <f>YEAR(Table1[[#This Row],[Order Date]])</f>
        <v>2025</v>
      </c>
      <c r="P715" t="str">
        <f>TEXT(Table1[[#This Row],[Order Date]],"mmmm")</f>
        <v>December</v>
      </c>
      <c r="Q715" t="str">
        <f>TEXT(Table1[[#This Row],[Order Date]],"mm")</f>
        <v>12</v>
      </c>
      <c r="R715" s="2">
        <f>Table1[[#This Row],[Profit]]/Table1[[#This Row],[Sales]]</f>
        <v>-0.18399481193255515</v>
      </c>
      <c r="S715" t="str">
        <f t="shared" si="11"/>
        <v>High (21-30%)</v>
      </c>
    </row>
    <row r="716" spans="1:19" x14ac:dyDescent="0.2">
      <c r="A716" t="s">
        <v>1456</v>
      </c>
      <c r="B716" s="3" t="s">
        <v>1457</v>
      </c>
      <c r="C716" t="s">
        <v>378</v>
      </c>
      <c r="D716" t="s">
        <v>27</v>
      </c>
      <c r="E716" t="s">
        <v>61</v>
      </c>
      <c r="F716" t="s">
        <v>55</v>
      </c>
      <c r="G716" t="s">
        <v>98</v>
      </c>
      <c r="H716" t="s">
        <v>154</v>
      </c>
      <c r="I716" s="4">
        <v>8647.92</v>
      </c>
      <c r="J716">
        <v>8</v>
      </c>
      <c r="K716" s="2">
        <v>0.15</v>
      </c>
      <c r="L716" s="4">
        <v>1212.05</v>
      </c>
      <c r="M716" t="s">
        <v>44</v>
      </c>
      <c r="N716" t="s">
        <v>76</v>
      </c>
      <c r="O716">
        <f>YEAR(Table1[[#This Row],[Order Date]])</f>
        <v>2025</v>
      </c>
      <c r="P716" t="str">
        <f>TEXT(Table1[[#This Row],[Order Date]],"mmmm")</f>
        <v>January</v>
      </c>
      <c r="Q716" t="str">
        <f>TEXT(Table1[[#This Row],[Order Date]],"mm")</f>
        <v>01</v>
      </c>
      <c r="R716" s="2">
        <f>Table1[[#This Row],[Profit]]/Table1[[#This Row],[Sales]]</f>
        <v>0.14015508931627488</v>
      </c>
      <c r="S716" t="str">
        <f t="shared" si="11"/>
        <v>Medium (11-20%)</v>
      </c>
    </row>
    <row r="717" spans="1:19" x14ac:dyDescent="0.2">
      <c r="A717" t="s">
        <v>1458</v>
      </c>
      <c r="B717" s="3" t="s">
        <v>1459</v>
      </c>
      <c r="C717" t="s">
        <v>684</v>
      </c>
      <c r="D717" t="s">
        <v>137</v>
      </c>
      <c r="E717" t="s">
        <v>142</v>
      </c>
      <c r="F717" t="s">
        <v>19</v>
      </c>
      <c r="G717" t="s">
        <v>29</v>
      </c>
      <c r="H717" t="s">
        <v>50</v>
      </c>
      <c r="I717" s="4">
        <v>3151.3</v>
      </c>
      <c r="J717">
        <v>10</v>
      </c>
      <c r="K717" s="2">
        <v>0.05</v>
      </c>
      <c r="L717" s="4">
        <v>1055.6400000000001</v>
      </c>
      <c r="M717" t="s">
        <v>22</v>
      </c>
      <c r="N717" t="s">
        <v>32</v>
      </c>
      <c r="O717">
        <f>YEAR(Table1[[#This Row],[Order Date]])</f>
        <v>2024</v>
      </c>
      <c r="P717" t="str">
        <f>TEXT(Table1[[#This Row],[Order Date]],"mmmm")</f>
        <v>September</v>
      </c>
      <c r="Q717" t="str">
        <f>TEXT(Table1[[#This Row],[Order Date]],"mm")</f>
        <v>09</v>
      </c>
      <c r="R717" s="2">
        <f>Table1[[#This Row],[Profit]]/Table1[[#This Row],[Sales]]</f>
        <v>0.3349855615142957</v>
      </c>
      <c r="S717" t="str">
        <f t="shared" si="11"/>
        <v>Low (1-10%)</v>
      </c>
    </row>
    <row r="718" spans="1:19" x14ac:dyDescent="0.2">
      <c r="A718" t="s">
        <v>1460</v>
      </c>
      <c r="B718" s="3" t="s">
        <v>1461</v>
      </c>
      <c r="C718" t="s">
        <v>141</v>
      </c>
      <c r="D718" t="s">
        <v>17</v>
      </c>
      <c r="E718" t="s">
        <v>80</v>
      </c>
      <c r="F718" t="s">
        <v>55</v>
      </c>
      <c r="G718" t="s">
        <v>56</v>
      </c>
      <c r="H718" t="s">
        <v>57</v>
      </c>
      <c r="I718" s="4">
        <v>4454.8</v>
      </c>
      <c r="J718">
        <v>5</v>
      </c>
      <c r="K718" s="2">
        <v>0.05</v>
      </c>
      <c r="L718" s="4">
        <v>1034.43</v>
      </c>
      <c r="M718" t="s">
        <v>143</v>
      </c>
      <c r="N718" t="s">
        <v>23</v>
      </c>
      <c r="O718">
        <f>YEAR(Table1[[#This Row],[Order Date]])</f>
        <v>2024</v>
      </c>
      <c r="P718" t="str">
        <f>TEXT(Table1[[#This Row],[Order Date]],"mmmm")</f>
        <v>July</v>
      </c>
      <c r="Q718" t="str">
        <f>TEXT(Table1[[#This Row],[Order Date]],"mm")</f>
        <v>07</v>
      </c>
      <c r="R718" s="2">
        <f>Table1[[#This Row],[Profit]]/Table1[[#This Row],[Sales]]</f>
        <v>0.2322057106940828</v>
      </c>
      <c r="S718" t="str">
        <f t="shared" si="11"/>
        <v>Low (1-10%)</v>
      </c>
    </row>
    <row r="719" spans="1:19" x14ac:dyDescent="0.2">
      <c r="A719" t="s">
        <v>1462</v>
      </c>
      <c r="B719" s="3" t="s">
        <v>976</v>
      </c>
      <c r="C719" t="s">
        <v>504</v>
      </c>
      <c r="D719" t="s">
        <v>17</v>
      </c>
      <c r="E719" t="s">
        <v>18</v>
      </c>
      <c r="F719" t="s">
        <v>67</v>
      </c>
      <c r="G719" t="s">
        <v>68</v>
      </c>
      <c r="H719" t="s">
        <v>382</v>
      </c>
      <c r="I719" s="4">
        <v>3082.4</v>
      </c>
      <c r="J719">
        <v>4</v>
      </c>
      <c r="K719" s="2">
        <v>0.1</v>
      </c>
      <c r="L719" s="4">
        <v>56.46</v>
      </c>
      <c r="M719" t="s">
        <v>195</v>
      </c>
      <c r="N719" t="s">
        <v>76</v>
      </c>
      <c r="O719">
        <f>YEAR(Table1[[#This Row],[Order Date]])</f>
        <v>2024</v>
      </c>
      <c r="P719" t="str">
        <f>TEXT(Table1[[#This Row],[Order Date]],"mmmm")</f>
        <v>September</v>
      </c>
      <c r="Q719" t="str">
        <f>TEXT(Table1[[#This Row],[Order Date]],"mm")</f>
        <v>09</v>
      </c>
      <c r="R719" s="2">
        <f>Table1[[#This Row],[Profit]]/Table1[[#This Row],[Sales]]</f>
        <v>1.8316895925253051E-2</v>
      </c>
      <c r="S719" t="str">
        <f t="shared" si="11"/>
        <v>Low (1-10%)</v>
      </c>
    </row>
    <row r="720" spans="1:19" x14ac:dyDescent="0.2">
      <c r="A720" t="s">
        <v>1463</v>
      </c>
      <c r="B720" s="3" t="s">
        <v>1464</v>
      </c>
      <c r="C720" t="s">
        <v>375</v>
      </c>
      <c r="D720" t="s">
        <v>27</v>
      </c>
      <c r="E720" t="s">
        <v>124</v>
      </c>
      <c r="F720" t="s">
        <v>19</v>
      </c>
      <c r="G720" t="s">
        <v>29</v>
      </c>
      <c r="H720" t="s">
        <v>199</v>
      </c>
      <c r="I720" s="4">
        <v>11898.7</v>
      </c>
      <c r="J720">
        <v>10</v>
      </c>
      <c r="K720" s="2">
        <v>0.3</v>
      </c>
      <c r="L720" s="4">
        <v>-2521.1</v>
      </c>
      <c r="M720" t="s">
        <v>31</v>
      </c>
      <c r="N720" t="s">
        <v>32</v>
      </c>
      <c r="O720">
        <f>YEAR(Table1[[#This Row],[Order Date]])</f>
        <v>2025</v>
      </c>
      <c r="P720" t="str">
        <f>TEXT(Table1[[#This Row],[Order Date]],"mmmm")</f>
        <v>October</v>
      </c>
      <c r="Q720" t="str">
        <f>TEXT(Table1[[#This Row],[Order Date]],"mm")</f>
        <v>10</v>
      </c>
      <c r="R720" s="2">
        <f>Table1[[#This Row],[Profit]]/Table1[[#This Row],[Sales]]</f>
        <v>-0.21188028944338455</v>
      </c>
      <c r="S720" t="str">
        <f t="shared" si="11"/>
        <v>High (21-30%)</v>
      </c>
    </row>
    <row r="721" spans="1:19" x14ac:dyDescent="0.2">
      <c r="A721" t="s">
        <v>1465</v>
      </c>
      <c r="B721" s="3" t="s">
        <v>1466</v>
      </c>
      <c r="C721" t="s">
        <v>120</v>
      </c>
      <c r="D721" t="s">
        <v>27</v>
      </c>
      <c r="E721" t="s">
        <v>28</v>
      </c>
      <c r="F721" t="s">
        <v>67</v>
      </c>
      <c r="G721" t="s">
        <v>85</v>
      </c>
      <c r="H721" t="s">
        <v>125</v>
      </c>
      <c r="I721" s="4">
        <v>2202.12</v>
      </c>
      <c r="J721">
        <v>6</v>
      </c>
      <c r="K721" s="2">
        <v>0.15</v>
      </c>
      <c r="L721" s="4">
        <v>-213.47</v>
      </c>
      <c r="M721" t="s">
        <v>44</v>
      </c>
      <c r="N721" t="s">
        <v>76</v>
      </c>
      <c r="O721">
        <f>YEAR(Table1[[#This Row],[Order Date]])</f>
        <v>2025</v>
      </c>
      <c r="P721" t="str">
        <f>TEXT(Table1[[#This Row],[Order Date]],"mmmm")</f>
        <v>August</v>
      </c>
      <c r="Q721" t="str">
        <f>TEXT(Table1[[#This Row],[Order Date]],"mm")</f>
        <v>08</v>
      </c>
      <c r="R721" s="2">
        <f>Table1[[#This Row],[Profit]]/Table1[[#This Row],[Sales]]</f>
        <v>-9.693840480991045E-2</v>
      </c>
      <c r="S721" t="str">
        <f t="shared" si="11"/>
        <v>Medium (11-20%)</v>
      </c>
    </row>
    <row r="722" spans="1:19" x14ac:dyDescent="0.2">
      <c r="A722" t="s">
        <v>1467</v>
      </c>
      <c r="B722" s="3" t="s">
        <v>612</v>
      </c>
      <c r="C722" t="s">
        <v>640</v>
      </c>
      <c r="D722" t="s">
        <v>17</v>
      </c>
      <c r="E722" t="s">
        <v>80</v>
      </c>
      <c r="F722" t="s">
        <v>19</v>
      </c>
      <c r="G722" t="s">
        <v>36</v>
      </c>
      <c r="H722" t="s">
        <v>111</v>
      </c>
      <c r="I722" s="4">
        <v>2173.38</v>
      </c>
      <c r="J722">
        <v>2</v>
      </c>
      <c r="K722" s="2">
        <v>0.1</v>
      </c>
      <c r="L722" s="4">
        <v>85.27</v>
      </c>
      <c r="M722" t="s">
        <v>107</v>
      </c>
      <c r="N722" t="s">
        <v>39</v>
      </c>
      <c r="O722">
        <f>YEAR(Table1[[#This Row],[Order Date]])</f>
        <v>2025</v>
      </c>
      <c r="P722" t="str">
        <f>TEXT(Table1[[#This Row],[Order Date]],"mmmm")</f>
        <v>November</v>
      </c>
      <c r="Q722" t="str">
        <f>TEXT(Table1[[#This Row],[Order Date]],"mm")</f>
        <v>11</v>
      </c>
      <c r="R722" s="2">
        <f>Table1[[#This Row],[Profit]]/Table1[[#This Row],[Sales]]</f>
        <v>3.923382013269653E-2</v>
      </c>
      <c r="S722" t="str">
        <f t="shared" si="11"/>
        <v>Low (1-10%)</v>
      </c>
    </row>
    <row r="723" spans="1:19" x14ac:dyDescent="0.2">
      <c r="A723" t="s">
        <v>1468</v>
      </c>
      <c r="B723" s="3" t="s">
        <v>512</v>
      </c>
      <c r="C723" t="s">
        <v>421</v>
      </c>
      <c r="D723" t="s">
        <v>137</v>
      </c>
      <c r="E723" t="s">
        <v>142</v>
      </c>
      <c r="F723" t="s">
        <v>55</v>
      </c>
      <c r="G723" t="s">
        <v>56</v>
      </c>
      <c r="H723" t="s">
        <v>57</v>
      </c>
      <c r="I723" s="4">
        <v>5668.16</v>
      </c>
      <c r="J723">
        <v>8</v>
      </c>
      <c r="K723" s="2">
        <v>0.05</v>
      </c>
      <c r="L723" s="4">
        <v>1708.82</v>
      </c>
      <c r="M723" t="s">
        <v>31</v>
      </c>
      <c r="N723" t="s">
        <v>23</v>
      </c>
      <c r="O723">
        <f>YEAR(Table1[[#This Row],[Order Date]])</f>
        <v>2024</v>
      </c>
      <c r="P723" t="str">
        <f>TEXT(Table1[[#This Row],[Order Date]],"mmmm")</f>
        <v>January</v>
      </c>
      <c r="Q723" t="str">
        <f>TEXT(Table1[[#This Row],[Order Date]],"mm")</f>
        <v>01</v>
      </c>
      <c r="R723" s="2">
        <f>Table1[[#This Row],[Profit]]/Table1[[#This Row],[Sales]]</f>
        <v>0.30147702252582848</v>
      </c>
      <c r="S723" t="str">
        <f t="shared" si="11"/>
        <v>Low (1-10%)</v>
      </c>
    </row>
    <row r="724" spans="1:19" x14ac:dyDescent="0.2">
      <c r="A724" t="s">
        <v>1469</v>
      </c>
      <c r="B724" s="3" t="s">
        <v>947</v>
      </c>
      <c r="C724" t="s">
        <v>666</v>
      </c>
      <c r="D724" t="s">
        <v>137</v>
      </c>
      <c r="E724" t="s">
        <v>160</v>
      </c>
      <c r="F724" t="s">
        <v>67</v>
      </c>
      <c r="G724" t="s">
        <v>85</v>
      </c>
      <c r="H724" t="s">
        <v>125</v>
      </c>
      <c r="I724" s="4">
        <v>10865.2</v>
      </c>
      <c r="J724">
        <v>10</v>
      </c>
      <c r="K724" s="2">
        <v>0.2</v>
      </c>
      <c r="L724" s="4">
        <v>2093.02</v>
      </c>
      <c r="M724" t="s">
        <v>31</v>
      </c>
      <c r="N724" t="s">
        <v>23</v>
      </c>
      <c r="O724">
        <f>YEAR(Table1[[#This Row],[Order Date]])</f>
        <v>2025</v>
      </c>
      <c r="P724" t="str">
        <f>TEXT(Table1[[#This Row],[Order Date]],"mmmm")</f>
        <v>January</v>
      </c>
      <c r="Q724" t="str">
        <f>TEXT(Table1[[#This Row],[Order Date]],"mm")</f>
        <v>01</v>
      </c>
      <c r="R724" s="2">
        <f>Table1[[#This Row],[Profit]]/Table1[[#This Row],[Sales]]</f>
        <v>0.19263520229724257</v>
      </c>
      <c r="S724" t="str">
        <f t="shared" si="11"/>
        <v>Medium (11-20%)</v>
      </c>
    </row>
    <row r="725" spans="1:19" x14ac:dyDescent="0.2">
      <c r="A725" t="s">
        <v>1470</v>
      </c>
      <c r="B725" s="3" t="s">
        <v>1471</v>
      </c>
      <c r="C725" t="s">
        <v>123</v>
      </c>
      <c r="D725" t="s">
        <v>17</v>
      </c>
      <c r="E725" t="s">
        <v>54</v>
      </c>
      <c r="F725" t="s">
        <v>67</v>
      </c>
      <c r="G725" t="s">
        <v>115</v>
      </c>
      <c r="H725" t="s">
        <v>212</v>
      </c>
      <c r="I725" s="4">
        <v>9282.5</v>
      </c>
      <c r="J725">
        <v>10</v>
      </c>
      <c r="K725" s="2">
        <v>0.25</v>
      </c>
      <c r="L725" s="4">
        <v>-1137.2</v>
      </c>
      <c r="M725" t="s">
        <v>38</v>
      </c>
      <c r="N725" t="s">
        <v>39</v>
      </c>
      <c r="O725">
        <f>YEAR(Table1[[#This Row],[Order Date]])</f>
        <v>2024</v>
      </c>
      <c r="P725" t="str">
        <f>TEXT(Table1[[#This Row],[Order Date]],"mmmm")</f>
        <v>November</v>
      </c>
      <c r="Q725" t="str">
        <f>TEXT(Table1[[#This Row],[Order Date]],"mm")</f>
        <v>11</v>
      </c>
      <c r="R725" s="2">
        <f>Table1[[#This Row],[Profit]]/Table1[[#This Row],[Sales]]</f>
        <v>-0.12251009964987881</v>
      </c>
      <c r="S725" t="str">
        <f t="shared" si="11"/>
        <v>High (21-30%)</v>
      </c>
    </row>
    <row r="726" spans="1:19" x14ac:dyDescent="0.2">
      <c r="A726" t="s">
        <v>1472</v>
      </c>
      <c r="B726" s="3" t="s">
        <v>1473</v>
      </c>
      <c r="C726" t="s">
        <v>1474</v>
      </c>
      <c r="D726" t="s">
        <v>48</v>
      </c>
      <c r="E726" t="s">
        <v>73</v>
      </c>
      <c r="F726" t="s">
        <v>67</v>
      </c>
      <c r="G726" t="s">
        <v>68</v>
      </c>
      <c r="H726" t="s">
        <v>382</v>
      </c>
      <c r="I726" s="4">
        <v>5734.3</v>
      </c>
      <c r="J726">
        <v>5</v>
      </c>
      <c r="K726" s="2">
        <v>0.05</v>
      </c>
      <c r="L726" s="4">
        <v>38.770000000000003</v>
      </c>
      <c r="M726" t="s">
        <v>87</v>
      </c>
      <c r="N726" t="s">
        <v>39</v>
      </c>
      <c r="O726">
        <f>YEAR(Table1[[#This Row],[Order Date]])</f>
        <v>2024</v>
      </c>
      <c r="P726" t="str">
        <f>TEXT(Table1[[#This Row],[Order Date]],"mmmm")</f>
        <v>December</v>
      </c>
      <c r="Q726" t="str">
        <f>TEXT(Table1[[#This Row],[Order Date]],"mm")</f>
        <v>12</v>
      </c>
      <c r="R726" s="2">
        <f>Table1[[#This Row],[Profit]]/Table1[[#This Row],[Sales]]</f>
        <v>6.7610693545855647E-3</v>
      </c>
      <c r="S726" t="str">
        <f t="shared" si="11"/>
        <v>Low (1-10%)</v>
      </c>
    </row>
    <row r="727" spans="1:19" x14ac:dyDescent="0.2">
      <c r="A727" t="s">
        <v>1475</v>
      </c>
      <c r="B727" s="3" t="s">
        <v>1476</v>
      </c>
      <c r="C727" t="s">
        <v>106</v>
      </c>
      <c r="D727" t="s">
        <v>27</v>
      </c>
      <c r="E727" t="s">
        <v>43</v>
      </c>
      <c r="F727" t="s">
        <v>55</v>
      </c>
      <c r="G727" t="s">
        <v>98</v>
      </c>
      <c r="H727" t="s">
        <v>150</v>
      </c>
      <c r="I727" s="4">
        <v>5303.55</v>
      </c>
      <c r="J727">
        <v>5</v>
      </c>
      <c r="K727" s="2">
        <v>0</v>
      </c>
      <c r="L727" s="4">
        <v>1952.28</v>
      </c>
      <c r="M727" t="s">
        <v>117</v>
      </c>
      <c r="N727" t="s">
        <v>32</v>
      </c>
      <c r="O727">
        <f>YEAR(Table1[[#This Row],[Order Date]])</f>
        <v>2024</v>
      </c>
      <c r="P727" t="str">
        <f>TEXT(Table1[[#This Row],[Order Date]],"mmmm")</f>
        <v>June</v>
      </c>
      <c r="Q727" t="str">
        <f>TEXT(Table1[[#This Row],[Order Date]],"mm")</f>
        <v>06</v>
      </c>
      <c r="R727" s="2">
        <f>Table1[[#This Row],[Profit]]/Table1[[#This Row],[Sales]]</f>
        <v>0.36810815397233926</v>
      </c>
      <c r="S727" t="str">
        <f t="shared" si="11"/>
        <v>No Discount</v>
      </c>
    </row>
    <row r="728" spans="1:19" x14ac:dyDescent="0.2">
      <c r="A728" t="s">
        <v>1477</v>
      </c>
      <c r="B728" s="3" t="s">
        <v>1478</v>
      </c>
      <c r="C728" t="s">
        <v>1010</v>
      </c>
      <c r="D728" t="s">
        <v>137</v>
      </c>
      <c r="E728" t="s">
        <v>138</v>
      </c>
      <c r="F728" t="s">
        <v>67</v>
      </c>
      <c r="G728" t="s">
        <v>115</v>
      </c>
      <c r="H728" t="s">
        <v>116</v>
      </c>
      <c r="I728" s="4">
        <v>1036.44</v>
      </c>
      <c r="J728">
        <v>4</v>
      </c>
      <c r="K728" s="2">
        <v>0.25</v>
      </c>
      <c r="L728" s="4">
        <v>147.04</v>
      </c>
      <c r="M728" t="s">
        <v>31</v>
      </c>
      <c r="N728" t="s">
        <v>76</v>
      </c>
      <c r="O728">
        <f>YEAR(Table1[[#This Row],[Order Date]])</f>
        <v>2025</v>
      </c>
      <c r="P728" t="str">
        <f>TEXT(Table1[[#This Row],[Order Date]],"mmmm")</f>
        <v>July</v>
      </c>
      <c r="Q728" t="str">
        <f>TEXT(Table1[[#This Row],[Order Date]],"mm")</f>
        <v>07</v>
      </c>
      <c r="R728" s="2">
        <f>Table1[[#This Row],[Profit]]/Table1[[#This Row],[Sales]]</f>
        <v>0.14187024815715332</v>
      </c>
      <c r="S728" t="str">
        <f t="shared" si="11"/>
        <v>High (21-30%)</v>
      </c>
    </row>
    <row r="729" spans="1:19" x14ac:dyDescent="0.2">
      <c r="A729" t="s">
        <v>1479</v>
      </c>
      <c r="B729" s="3" t="s">
        <v>1480</v>
      </c>
      <c r="C729" t="s">
        <v>548</v>
      </c>
      <c r="D729" t="s">
        <v>17</v>
      </c>
      <c r="E729" t="s">
        <v>54</v>
      </c>
      <c r="F729" t="s">
        <v>67</v>
      </c>
      <c r="G729" t="s">
        <v>68</v>
      </c>
      <c r="H729" t="s">
        <v>69</v>
      </c>
      <c r="I729" s="4">
        <v>136.56</v>
      </c>
      <c r="J729">
        <v>2</v>
      </c>
      <c r="K729" s="2">
        <v>0.2</v>
      </c>
      <c r="L729" s="4">
        <v>29.66</v>
      </c>
      <c r="M729" t="s">
        <v>143</v>
      </c>
      <c r="N729" t="s">
        <v>32</v>
      </c>
      <c r="O729">
        <f>YEAR(Table1[[#This Row],[Order Date]])</f>
        <v>2024</v>
      </c>
      <c r="P729" t="str">
        <f>TEXT(Table1[[#This Row],[Order Date]],"mmmm")</f>
        <v>November</v>
      </c>
      <c r="Q729" t="str">
        <f>TEXT(Table1[[#This Row],[Order Date]],"mm")</f>
        <v>11</v>
      </c>
      <c r="R729" s="2">
        <f>Table1[[#This Row],[Profit]]/Table1[[#This Row],[Sales]]</f>
        <v>0.21719390743995312</v>
      </c>
      <c r="S729" t="str">
        <f t="shared" si="11"/>
        <v>Medium (11-20%)</v>
      </c>
    </row>
    <row r="730" spans="1:19" x14ac:dyDescent="0.2">
      <c r="A730" t="s">
        <v>1481</v>
      </c>
      <c r="B730" s="3" t="s">
        <v>171</v>
      </c>
      <c r="C730" t="s">
        <v>192</v>
      </c>
      <c r="D730" t="s">
        <v>17</v>
      </c>
      <c r="E730" t="s">
        <v>18</v>
      </c>
      <c r="F730" t="s">
        <v>67</v>
      </c>
      <c r="G730" t="s">
        <v>115</v>
      </c>
      <c r="H730" t="s">
        <v>212</v>
      </c>
      <c r="I730" s="4">
        <v>1178.2</v>
      </c>
      <c r="J730">
        <v>5</v>
      </c>
      <c r="K730" s="2">
        <v>0.2</v>
      </c>
      <c r="L730" s="4">
        <v>-176.33</v>
      </c>
      <c r="M730" t="s">
        <v>87</v>
      </c>
      <c r="N730" t="s">
        <v>76</v>
      </c>
      <c r="O730">
        <f>YEAR(Table1[[#This Row],[Order Date]])</f>
        <v>2024</v>
      </c>
      <c r="P730" t="str">
        <f>TEXT(Table1[[#This Row],[Order Date]],"mmmm")</f>
        <v>July</v>
      </c>
      <c r="Q730" t="str">
        <f>TEXT(Table1[[#This Row],[Order Date]],"mm")</f>
        <v>07</v>
      </c>
      <c r="R730" s="2">
        <f>Table1[[#This Row],[Profit]]/Table1[[#This Row],[Sales]]</f>
        <v>-0.14966049906637244</v>
      </c>
      <c r="S730" t="str">
        <f t="shared" si="11"/>
        <v>Medium (11-20%)</v>
      </c>
    </row>
    <row r="731" spans="1:19" x14ac:dyDescent="0.2">
      <c r="A731" t="s">
        <v>1482</v>
      </c>
      <c r="B731" s="3" t="s">
        <v>1483</v>
      </c>
      <c r="C731" t="s">
        <v>252</v>
      </c>
      <c r="D731" t="s">
        <v>27</v>
      </c>
      <c r="E731" t="s">
        <v>28</v>
      </c>
      <c r="F731" t="s">
        <v>55</v>
      </c>
      <c r="G731" t="s">
        <v>74</v>
      </c>
      <c r="H731" t="s">
        <v>75</v>
      </c>
      <c r="I731" s="4">
        <v>995.56</v>
      </c>
      <c r="J731">
        <v>1</v>
      </c>
      <c r="K731" s="2">
        <v>0.05</v>
      </c>
      <c r="L731" s="4">
        <v>386.55</v>
      </c>
      <c r="M731" t="s">
        <v>107</v>
      </c>
      <c r="N731" t="s">
        <v>32</v>
      </c>
      <c r="O731">
        <f>YEAR(Table1[[#This Row],[Order Date]])</f>
        <v>2025</v>
      </c>
      <c r="P731" t="str">
        <f>TEXT(Table1[[#This Row],[Order Date]],"mmmm")</f>
        <v>July</v>
      </c>
      <c r="Q731" t="str">
        <f>TEXT(Table1[[#This Row],[Order Date]],"mm")</f>
        <v>07</v>
      </c>
      <c r="R731" s="2">
        <f>Table1[[#This Row],[Profit]]/Table1[[#This Row],[Sales]]</f>
        <v>0.38827393627707024</v>
      </c>
      <c r="S731" t="str">
        <f t="shared" si="11"/>
        <v>Low (1-10%)</v>
      </c>
    </row>
    <row r="732" spans="1:19" x14ac:dyDescent="0.2">
      <c r="A732" t="s">
        <v>1484</v>
      </c>
      <c r="B732" s="3" t="s">
        <v>1004</v>
      </c>
      <c r="C732" t="s">
        <v>911</v>
      </c>
      <c r="D732" t="s">
        <v>137</v>
      </c>
      <c r="E732" t="s">
        <v>138</v>
      </c>
      <c r="F732" t="s">
        <v>67</v>
      </c>
      <c r="G732" t="s">
        <v>85</v>
      </c>
      <c r="H732" t="s">
        <v>86</v>
      </c>
      <c r="I732" s="4">
        <v>2115.27</v>
      </c>
      <c r="J732">
        <v>9</v>
      </c>
      <c r="K732" s="2">
        <v>0</v>
      </c>
      <c r="L732" s="4">
        <v>313.91000000000003</v>
      </c>
      <c r="M732" t="s">
        <v>107</v>
      </c>
      <c r="N732" t="s">
        <v>32</v>
      </c>
      <c r="O732">
        <f>YEAR(Table1[[#This Row],[Order Date]])</f>
        <v>2025</v>
      </c>
      <c r="P732" t="str">
        <f>TEXT(Table1[[#This Row],[Order Date]],"mmmm")</f>
        <v>March</v>
      </c>
      <c r="Q732" t="str">
        <f>TEXT(Table1[[#This Row],[Order Date]],"mm")</f>
        <v>03</v>
      </c>
      <c r="R732" s="2">
        <f>Table1[[#This Row],[Profit]]/Table1[[#This Row],[Sales]]</f>
        <v>0.14840185886435303</v>
      </c>
      <c r="S732" t="str">
        <f t="shared" si="11"/>
        <v>No Discount</v>
      </c>
    </row>
    <row r="733" spans="1:19" x14ac:dyDescent="0.2">
      <c r="A733" t="s">
        <v>1485</v>
      </c>
      <c r="B733" s="3" t="s">
        <v>352</v>
      </c>
      <c r="C733" t="s">
        <v>535</v>
      </c>
      <c r="D733" t="s">
        <v>48</v>
      </c>
      <c r="E733" t="s">
        <v>110</v>
      </c>
      <c r="F733" t="s">
        <v>67</v>
      </c>
      <c r="G733" t="s">
        <v>68</v>
      </c>
      <c r="H733" t="s">
        <v>382</v>
      </c>
      <c r="I733" s="4">
        <v>4180.05</v>
      </c>
      <c r="J733">
        <v>5</v>
      </c>
      <c r="K733" s="2">
        <v>0.05</v>
      </c>
      <c r="L733" s="4">
        <v>1454.07</v>
      </c>
      <c r="M733" t="s">
        <v>44</v>
      </c>
      <c r="N733" t="s">
        <v>32</v>
      </c>
      <c r="O733">
        <f>YEAR(Table1[[#This Row],[Order Date]])</f>
        <v>2025</v>
      </c>
      <c r="P733" t="str">
        <f>TEXT(Table1[[#This Row],[Order Date]],"mmmm")</f>
        <v>December</v>
      </c>
      <c r="Q733" t="str">
        <f>TEXT(Table1[[#This Row],[Order Date]],"mm")</f>
        <v>12</v>
      </c>
      <c r="R733" s="2">
        <f>Table1[[#This Row],[Profit]]/Table1[[#This Row],[Sales]]</f>
        <v>0.34785947536512718</v>
      </c>
      <c r="S733" t="str">
        <f t="shared" si="11"/>
        <v>Low (1-10%)</v>
      </c>
    </row>
    <row r="734" spans="1:19" x14ac:dyDescent="0.2">
      <c r="A734" t="s">
        <v>1486</v>
      </c>
      <c r="B734" s="3" t="s">
        <v>1487</v>
      </c>
      <c r="C734" t="s">
        <v>252</v>
      </c>
      <c r="D734" t="s">
        <v>137</v>
      </c>
      <c r="E734" t="s">
        <v>138</v>
      </c>
      <c r="F734" t="s">
        <v>55</v>
      </c>
      <c r="G734" t="s">
        <v>74</v>
      </c>
      <c r="H734" t="s">
        <v>272</v>
      </c>
      <c r="I734" s="4">
        <v>6423.9</v>
      </c>
      <c r="J734">
        <v>7</v>
      </c>
      <c r="K734" s="2">
        <v>0.15</v>
      </c>
      <c r="L734" s="4">
        <v>730.49</v>
      </c>
      <c r="M734" t="s">
        <v>143</v>
      </c>
      <c r="N734" t="s">
        <v>39</v>
      </c>
      <c r="O734">
        <f>YEAR(Table1[[#This Row],[Order Date]])</f>
        <v>2024</v>
      </c>
      <c r="P734" t="str">
        <f>TEXT(Table1[[#This Row],[Order Date]],"mmmm")</f>
        <v>May</v>
      </c>
      <c r="Q734" t="str">
        <f>TEXT(Table1[[#This Row],[Order Date]],"mm")</f>
        <v>05</v>
      </c>
      <c r="R734" s="2">
        <f>Table1[[#This Row],[Profit]]/Table1[[#This Row],[Sales]]</f>
        <v>0.11371441024922556</v>
      </c>
      <c r="S734" t="str">
        <f t="shared" si="11"/>
        <v>Medium (11-20%)</v>
      </c>
    </row>
    <row r="735" spans="1:19" x14ac:dyDescent="0.2">
      <c r="A735" t="s">
        <v>1488</v>
      </c>
      <c r="B735" s="3" t="s">
        <v>856</v>
      </c>
      <c r="C735" t="s">
        <v>455</v>
      </c>
      <c r="D735" t="s">
        <v>17</v>
      </c>
      <c r="E735" t="s">
        <v>97</v>
      </c>
      <c r="F735" t="s">
        <v>19</v>
      </c>
      <c r="G735" t="s">
        <v>29</v>
      </c>
      <c r="H735" t="s">
        <v>199</v>
      </c>
      <c r="I735" s="4">
        <v>7439.13</v>
      </c>
      <c r="J735">
        <v>9</v>
      </c>
      <c r="K735" s="2">
        <v>0.1</v>
      </c>
      <c r="L735" s="4">
        <v>2347.2199999999998</v>
      </c>
      <c r="M735" t="s">
        <v>195</v>
      </c>
      <c r="N735" t="s">
        <v>39</v>
      </c>
      <c r="O735">
        <f>YEAR(Table1[[#This Row],[Order Date]])</f>
        <v>2024</v>
      </c>
      <c r="P735" t="str">
        <f>TEXT(Table1[[#This Row],[Order Date]],"mmmm")</f>
        <v>September</v>
      </c>
      <c r="Q735" t="str">
        <f>TEXT(Table1[[#This Row],[Order Date]],"mm")</f>
        <v>09</v>
      </c>
      <c r="R735" s="2">
        <f>Table1[[#This Row],[Profit]]/Table1[[#This Row],[Sales]]</f>
        <v>0.31552345502767121</v>
      </c>
      <c r="S735" t="str">
        <f t="shared" si="11"/>
        <v>Low (1-10%)</v>
      </c>
    </row>
    <row r="736" spans="1:19" x14ac:dyDescent="0.2">
      <c r="A736" t="s">
        <v>1489</v>
      </c>
      <c r="B736" s="3" t="s">
        <v>1092</v>
      </c>
      <c r="C736" t="s">
        <v>225</v>
      </c>
      <c r="D736" t="s">
        <v>48</v>
      </c>
      <c r="E736" t="s">
        <v>73</v>
      </c>
      <c r="F736" t="s">
        <v>55</v>
      </c>
      <c r="G736" t="s">
        <v>56</v>
      </c>
      <c r="H736" t="s">
        <v>57</v>
      </c>
      <c r="I736" s="4">
        <v>1316.82</v>
      </c>
      <c r="J736">
        <v>6</v>
      </c>
      <c r="K736" s="2">
        <v>0.15</v>
      </c>
      <c r="L736" s="4">
        <v>48.95</v>
      </c>
      <c r="M736" t="s">
        <v>44</v>
      </c>
      <c r="N736" t="s">
        <v>39</v>
      </c>
      <c r="O736">
        <f>YEAR(Table1[[#This Row],[Order Date]])</f>
        <v>2024</v>
      </c>
      <c r="P736" t="str">
        <f>TEXT(Table1[[#This Row],[Order Date]],"mmmm")</f>
        <v>November</v>
      </c>
      <c r="Q736" t="str">
        <f>TEXT(Table1[[#This Row],[Order Date]],"mm")</f>
        <v>11</v>
      </c>
      <c r="R736" s="2">
        <f>Table1[[#This Row],[Profit]]/Table1[[#This Row],[Sales]]</f>
        <v>3.7172886195531663E-2</v>
      </c>
      <c r="S736" t="str">
        <f t="shared" si="11"/>
        <v>Medium (11-20%)</v>
      </c>
    </row>
    <row r="737" spans="1:19" x14ac:dyDescent="0.2">
      <c r="A737" t="s">
        <v>1490</v>
      </c>
      <c r="B737" s="3" t="s">
        <v>1491</v>
      </c>
      <c r="C737" t="s">
        <v>53</v>
      </c>
      <c r="D737" t="s">
        <v>137</v>
      </c>
      <c r="E737" t="s">
        <v>142</v>
      </c>
      <c r="F737" t="s">
        <v>67</v>
      </c>
      <c r="G737" t="s">
        <v>68</v>
      </c>
      <c r="H737" t="s">
        <v>382</v>
      </c>
      <c r="I737" s="4">
        <v>8251.0400000000009</v>
      </c>
      <c r="J737">
        <v>8</v>
      </c>
      <c r="K737" s="2">
        <v>0.05</v>
      </c>
      <c r="L737" s="4">
        <v>2822.31</v>
      </c>
      <c r="M737" t="s">
        <v>44</v>
      </c>
      <c r="N737" t="s">
        <v>23</v>
      </c>
      <c r="O737">
        <f>YEAR(Table1[[#This Row],[Order Date]])</f>
        <v>2024</v>
      </c>
      <c r="P737" t="str">
        <f>TEXT(Table1[[#This Row],[Order Date]],"mmmm")</f>
        <v>March</v>
      </c>
      <c r="Q737" t="str">
        <f>TEXT(Table1[[#This Row],[Order Date]],"mm")</f>
        <v>03</v>
      </c>
      <c r="R737" s="2">
        <f>Table1[[#This Row],[Profit]]/Table1[[#This Row],[Sales]]</f>
        <v>0.34205506214974107</v>
      </c>
      <c r="S737" t="str">
        <f t="shared" si="11"/>
        <v>Low (1-10%)</v>
      </c>
    </row>
    <row r="738" spans="1:19" x14ac:dyDescent="0.2">
      <c r="A738" t="s">
        <v>1492</v>
      </c>
      <c r="B738" s="3" t="s">
        <v>695</v>
      </c>
      <c r="C738" t="s">
        <v>305</v>
      </c>
      <c r="D738" t="s">
        <v>137</v>
      </c>
      <c r="E738" t="s">
        <v>138</v>
      </c>
      <c r="F738" t="s">
        <v>67</v>
      </c>
      <c r="G738" t="s">
        <v>68</v>
      </c>
      <c r="H738" t="s">
        <v>382</v>
      </c>
      <c r="I738" s="4">
        <v>6730.1</v>
      </c>
      <c r="J738">
        <v>10</v>
      </c>
      <c r="K738" s="2">
        <v>0.3</v>
      </c>
      <c r="L738" s="4">
        <v>-1282.92</v>
      </c>
      <c r="M738" t="s">
        <v>31</v>
      </c>
      <c r="N738" t="s">
        <v>76</v>
      </c>
      <c r="O738">
        <f>YEAR(Table1[[#This Row],[Order Date]])</f>
        <v>2025</v>
      </c>
      <c r="P738" t="str">
        <f>TEXT(Table1[[#This Row],[Order Date]],"mmmm")</f>
        <v>July</v>
      </c>
      <c r="Q738" t="str">
        <f>TEXT(Table1[[#This Row],[Order Date]],"mm")</f>
        <v>07</v>
      </c>
      <c r="R738" s="2">
        <f>Table1[[#This Row],[Profit]]/Table1[[#This Row],[Sales]]</f>
        <v>-0.19062421063580037</v>
      </c>
      <c r="S738" t="str">
        <f t="shared" si="11"/>
        <v>High (21-30%)</v>
      </c>
    </row>
    <row r="739" spans="1:19" x14ac:dyDescent="0.2">
      <c r="A739" t="s">
        <v>1493</v>
      </c>
      <c r="B739" s="3" t="s">
        <v>525</v>
      </c>
      <c r="C739" t="s">
        <v>498</v>
      </c>
      <c r="D739" t="s">
        <v>17</v>
      </c>
      <c r="E739" t="s">
        <v>54</v>
      </c>
      <c r="F739" t="s">
        <v>67</v>
      </c>
      <c r="G739" t="s">
        <v>68</v>
      </c>
      <c r="H739" t="s">
        <v>69</v>
      </c>
      <c r="I739" s="4">
        <v>1941.51</v>
      </c>
      <c r="J739">
        <v>3</v>
      </c>
      <c r="K739" s="2">
        <v>0.25</v>
      </c>
      <c r="L739" s="4">
        <v>228.99</v>
      </c>
      <c r="M739" t="s">
        <v>31</v>
      </c>
      <c r="N739" t="s">
        <v>39</v>
      </c>
      <c r="O739">
        <f>YEAR(Table1[[#This Row],[Order Date]])</f>
        <v>2024</v>
      </c>
      <c r="P739" t="str">
        <f>TEXT(Table1[[#This Row],[Order Date]],"mmmm")</f>
        <v>October</v>
      </c>
      <c r="Q739" t="str">
        <f>TEXT(Table1[[#This Row],[Order Date]],"mm")</f>
        <v>10</v>
      </c>
      <c r="R739" s="2">
        <f>Table1[[#This Row],[Profit]]/Table1[[#This Row],[Sales]]</f>
        <v>0.11794428048271706</v>
      </c>
      <c r="S739" t="str">
        <f t="shared" si="11"/>
        <v>High (21-30%)</v>
      </c>
    </row>
    <row r="740" spans="1:19" x14ac:dyDescent="0.2">
      <c r="A740" t="s">
        <v>1494</v>
      </c>
      <c r="B740" s="3" t="s">
        <v>980</v>
      </c>
      <c r="C740" t="s">
        <v>684</v>
      </c>
      <c r="D740" t="s">
        <v>17</v>
      </c>
      <c r="E740" t="s">
        <v>18</v>
      </c>
      <c r="F740" t="s">
        <v>55</v>
      </c>
      <c r="G740" t="s">
        <v>56</v>
      </c>
      <c r="H740" t="s">
        <v>57</v>
      </c>
      <c r="I740" s="4">
        <v>6205.26</v>
      </c>
      <c r="J740">
        <v>6</v>
      </c>
      <c r="K740" s="2">
        <v>0.05</v>
      </c>
      <c r="L740" s="4">
        <v>1606.34</v>
      </c>
      <c r="M740" t="s">
        <v>31</v>
      </c>
      <c r="N740" t="s">
        <v>76</v>
      </c>
      <c r="O740">
        <f>YEAR(Table1[[#This Row],[Order Date]])</f>
        <v>2024</v>
      </c>
      <c r="P740" t="str">
        <f>TEXT(Table1[[#This Row],[Order Date]],"mmmm")</f>
        <v>September</v>
      </c>
      <c r="Q740" t="str">
        <f>TEXT(Table1[[#This Row],[Order Date]],"mm")</f>
        <v>09</v>
      </c>
      <c r="R740" s="2">
        <f>Table1[[#This Row],[Profit]]/Table1[[#This Row],[Sales]]</f>
        <v>0.2588674769469772</v>
      </c>
      <c r="S740" t="str">
        <f t="shared" si="11"/>
        <v>Low (1-10%)</v>
      </c>
    </row>
    <row r="741" spans="1:19" x14ac:dyDescent="0.2">
      <c r="A741" t="s">
        <v>1495</v>
      </c>
      <c r="B741" s="3" t="s">
        <v>856</v>
      </c>
      <c r="C741" t="s">
        <v>994</v>
      </c>
      <c r="D741" t="s">
        <v>17</v>
      </c>
      <c r="E741" t="s">
        <v>80</v>
      </c>
      <c r="F741" t="s">
        <v>67</v>
      </c>
      <c r="G741" t="s">
        <v>115</v>
      </c>
      <c r="H741" t="s">
        <v>178</v>
      </c>
      <c r="I741" s="4">
        <v>569.24</v>
      </c>
      <c r="J741">
        <v>4</v>
      </c>
      <c r="K741" s="2">
        <v>0.15</v>
      </c>
      <c r="L741" s="4">
        <v>85</v>
      </c>
      <c r="M741" t="s">
        <v>107</v>
      </c>
      <c r="N741" t="s">
        <v>39</v>
      </c>
      <c r="O741">
        <f>YEAR(Table1[[#This Row],[Order Date]])</f>
        <v>2024</v>
      </c>
      <c r="P741" t="str">
        <f>TEXT(Table1[[#This Row],[Order Date]],"mmmm")</f>
        <v>September</v>
      </c>
      <c r="Q741" t="str">
        <f>TEXT(Table1[[#This Row],[Order Date]],"mm")</f>
        <v>09</v>
      </c>
      <c r="R741" s="2">
        <f>Table1[[#This Row],[Profit]]/Table1[[#This Row],[Sales]]</f>
        <v>0.14932190288806127</v>
      </c>
      <c r="S741" t="str">
        <f t="shared" si="11"/>
        <v>Medium (11-20%)</v>
      </c>
    </row>
    <row r="742" spans="1:19" x14ac:dyDescent="0.2">
      <c r="A742" t="s">
        <v>1496</v>
      </c>
      <c r="B742" s="3" t="s">
        <v>207</v>
      </c>
      <c r="C742" t="s">
        <v>625</v>
      </c>
      <c r="D742" t="s">
        <v>137</v>
      </c>
      <c r="E742" t="s">
        <v>138</v>
      </c>
      <c r="F742" t="s">
        <v>19</v>
      </c>
      <c r="G742" t="s">
        <v>36</v>
      </c>
      <c r="H742" t="s">
        <v>111</v>
      </c>
      <c r="I742" s="4">
        <v>3712.87</v>
      </c>
      <c r="J742">
        <v>7</v>
      </c>
      <c r="K742" s="2">
        <v>0.25</v>
      </c>
      <c r="L742" s="4">
        <v>125.15</v>
      </c>
      <c r="M742" t="s">
        <v>87</v>
      </c>
      <c r="N742" t="s">
        <v>76</v>
      </c>
      <c r="O742">
        <f>YEAR(Table1[[#This Row],[Order Date]])</f>
        <v>2024</v>
      </c>
      <c r="P742" t="str">
        <f>TEXT(Table1[[#This Row],[Order Date]],"mmmm")</f>
        <v>June</v>
      </c>
      <c r="Q742" t="str">
        <f>TEXT(Table1[[#This Row],[Order Date]],"mm")</f>
        <v>06</v>
      </c>
      <c r="R742" s="2">
        <f>Table1[[#This Row],[Profit]]/Table1[[#This Row],[Sales]]</f>
        <v>3.3707078351787163E-2</v>
      </c>
      <c r="S742" t="str">
        <f t="shared" si="11"/>
        <v>High (21-30%)</v>
      </c>
    </row>
    <row r="743" spans="1:19" x14ac:dyDescent="0.2">
      <c r="A743" t="s">
        <v>1497</v>
      </c>
      <c r="B743" s="3" t="s">
        <v>1498</v>
      </c>
      <c r="C743" t="s">
        <v>1062</v>
      </c>
      <c r="D743" t="s">
        <v>137</v>
      </c>
      <c r="E743" t="s">
        <v>242</v>
      </c>
      <c r="F743" t="s">
        <v>55</v>
      </c>
      <c r="G743" t="s">
        <v>74</v>
      </c>
      <c r="H743" t="s">
        <v>75</v>
      </c>
      <c r="I743" s="4">
        <v>578.16999999999996</v>
      </c>
      <c r="J743">
        <v>1</v>
      </c>
      <c r="K743" s="2">
        <v>0.25</v>
      </c>
      <c r="L743" s="4">
        <v>32.979999999999997</v>
      </c>
      <c r="M743" t="s">
        <v>117</v>
      </c>
      <c r="N743" t="s">
        <v>32</v>
      </c>
      <c r="O743">
        <f>YEAR(Table1[[#This Row],[Order Date]])</f>
        <v>2024</v>
      </c>
      <c r="P743" t="str">
        <f>TEXT(Table1[[#This Row],[Order Date]],"mmmm")</f>
        <v>May</v>
      </c>
      <c r="Q743" t="str">
        <f>TEXT(Table1[[#This Row],[Order Date]],"mm")</f>
        <v>05</v>
      </c>
      <c r="R743" s="2">
        <f>Table1[[#This Row],[Profit]]/Table1[[#This Row],[Sales]]</f>
        <v>5.7042046456924435E-2</v>
      </c>
      <c r="S743" t="str">
        <f t="shared" si="11"/>
        <v>High (21-30%)</v>
      </c>
    </row>
    <row r="744" spans="1:19" x14ac:dyDescent="0.2">
      <c r="A744" t="s">
        <v>1499</v>
      </c>
      <c r="B744" s="3" t="s">
        <v>1500</v>
      </c>
      <c r="C744" t="s">
        <v>745</v>
      </c>
      <c r="D744" t="s">
        <v>48</v>
      </c>
      <c r="E744" t="s">
        <v>73</v>
      </c>
      <c r="F744" t="s">
        <v>19</v>
      </c>
      <c r="G744" t="s">
        <v>20</v>
      </c>
      <c r="H744" t="s">
        <v>239</v>
      </c>
      <c r="I744" s="4">
        <v>1010.72</v>
      </c>
      <c r="J744">
        <v>4</v>
      </c>
      <c r="K744" s="2">
        <v>0.1</v>
      </c>
      <c r="L744" s="4">
        <v>45.19</v>
      </c>
      <c r="M744" t="s">
        <v>107</v>
      </c>
      <c r="N744" t="s">
        <v>76</v>
      </c>
      <c r="O744">
        <f>YEAR(Table1[[#This Row],[Order Date]])</f>
        <v>2024</v>
      </c>
      <c r="P744" t="str">
        <f>TEXT(Table1[[#This Row],[Order Date]],"mmmm")</f>
        <v>January</v>
      </c>
      <c r="Q744" t="str">
        <f>TEXT(Table1[[#This Row],[Order Date]],"mm")</f>
        <v>01</v>
      </c>
      <c r="R744" s="2">
        <f>Table1[[#This Row],[Profit]]/Table1[[#This Row],[Sales]]</f>
        <v>4.4710701282254232E-2</v>
      </c>
      <c r="S744" t="str">
        <f t="shared" si="11"/>
        <v>Low (1-10%)</v>
      </c>
    </row>
    <row r="745" spans="1:19" x14ac:dyDescent="0.2">
      <c r="A745" t="s">
        <v>1501</v>
      </c>
      <c r="B745" s="3" t="s">
        <v>1502</v>
      </c>
      <c r="C745" t="s">
        <v>473</v>
      </c>
      <c r="D745" t="s">
        <v>48</v>
      </c>
      <c r="E745" t="s">
        <v>73</v>
      </c>
      <c r="F745" t="s">
        <v>19</v>
      </c>
      <c r="G745" t="s">
        <v>20</v>
      </c>
      <c r="H745" t="s">
        <v>21</v>
      </c>
      <c r="I745" s="4">
        <v>117.15</v>
      </c>
      <c r="J745">
        <v>1</v>
      </c>
      <c r="K745" s="2">
        <v>0</v>
      </c>
      <c r="L745" s="4">
        <v>40.08</v>
      </c>
      <c r="M745" t="s">
        <v>117</v>
      </c>
      <c r="N745" t="s">
        <v>76</v>
      </c>
      <c r="O745">
        <f>YEAR(Table1[[#This Row],[Order Date]])</f>
        <v>2025</v>
      </c>
      <c r="P745" t="str">
        <f>TEXT(Table1[[#This Row],[Order Date]],"mmmm")</f>
        <v>November</v>
      </c>
      <c r="Q745" t="str">
        <f>TEXT(Table1[[#This Row],[Order Date]],"mm")</f>
        <v>11</v>
      </c>
      <c r="R745" s="2">
        <f>Table1[[#This Row],[Profit]]/Table1[[#This Row],[Sales]]</f>
        <v>0.34212548015364913</v>
      </c>
      <c r="S745" t="str">
        <f t="shared" si="11"/>
        <v>No Discount</v>
      </c>
    </row>
    <row r="746" spans="1:19" x14ac:dyDescent="0.2">
      <c r="A746" t="s">
        <v>1503</v>
      </c>
      <c r="B746" s="3" t="s">
        <v>1013</v>
      </c>
      <c r="C746" t="s">
        <v>211</v>
      </c>
      <c r="D746" t="s">
        <v>137</v>
      </c>
      <c r="E746" t="s">
        <v>160</v>
      </c>
      <c r="F746" t="s">
        <v>67</v>
      </c>
      <c r="G746" t="s">
        <v>115</v>
      </c>
      <c r="H746" t="s">
        <v>116</v>
      </c>
      <c r="I746" s="4">
        <v>3983.16</v>
      </c>
      <c r="J746">
        <v>4</v>
      </c>
      <c r="K746" s="2">
        <v>0.1</v>
      </c>
      <c r="L746" s="4">
        <v>-75.459999999999994</v>
      </c>
      <c r="M746" t="s">
        <v>143</v>
      </c>
      <c r="N746" t="s">
        <v>76</v>
      </c>
      <c r="O746">
        <f>YEAR(Table1[[#This Row],[Order Date]])</f>
        <v>2025</v>
      </c>
      <c r="P746" t="str">
        <f>TEXT(Table1[[#This Row],[Order Date]],"mmmm")</f>
        <v>September</v>
      </c>
      <c r="Q746" t="str">
        <f>TEXT(Table1[[#This Row],[Order Date]],"mm")</f>
        <v>09</v>
      </c>
      <c r="R746" s="2">
        <f>Table1[[#This Row],[Profit]]/Table1[[#This Row],[Sales]]</f>
        <v>-1.8944757428775143E-2</v>
      </c>
      <c r="S746" t="str">
        <f t="shared" si="11"/>
        <v>Low (1-10%)</v>
      </c>
    </row>
    <row r="747" spans="1:19" x14ac:dyDescent="0.2">
      <c r="A747" t="s">
        <v>1504</v>
      </c>
      <c r="B747" s="3" t="s">
        <v>493</v>
      </c>
      <c r="C747" t="s">
        <v>294</v>
      </c>
      <c r="D747" t="s">
        <v>17</v>
      </c>
      <c r="E747" t="s">
        <v>97</v>
      </c>
      <c r="F747" t="s">
        <v>19</v>
      </c>
      <c r="G747" t="s">
        <v>20</v>
      </c>
      <c r="H747" t="s">
        <v>21</v>
      </c>
      <c r="I747" s="4">
        <v>2338.08</v>
      </c>
      <c r="J747">
        <v>3</v>
      </c>
      <c r="K747" s="2">
        <v>0.2</v>
      </c>
      <c r="L747" s="4">
        <v>198.8</v>
      </c>
      <c r="M747" t="s">
        <v>31</v>
      </c>
      <c r="N747" t="s">
        <v>32</v>
      </c>
      <c r="O747">
        <f>YEAR(Table1[[#This Row],[Order Date]])</f>
        <v>2025</v>
      </c>
      <c r="P747" t="str">
        <f>TEXT(Table1[[#This Row],[Order Date]],"mmmm")</f>
        <v>May</v>
      </c>
      <c r="Q747" t="str">
        <f>TEXT(Table1[[#This Row],[Order Date]],"mm")</f>
        <v>05</v>
      </c>
      <c r="R747" s="2">
        <f>Table1[[#This Row],[Profit]]/Table1[[#This Row],[Sales]]</f>
        <v>8.5027030726065836E-2</v>
      </c>
      <c r="S747" t="str">
        <f t="shared" si="11"/>
        <v>Medium (11-20%)</v>
      </c>
    </row>
    <row r="748" spans="1:19" x14ac:dyDescent="0.2">
      <c r="A748" t="s">
        <v>1505</v>
      </c>
      <c r="B748" s="3" t="s">
        <v>736</v>
      </c>
      <c r="C748" t="s">
        <v>1062</v>
      </c>
      <c r="D748" t="s">
        <v>17</v>
      </c>
      <c r="E748" t="s">
        <v>18</v>
      </c>
      <c r="F748" t="s">
        <v>55</v>
      </c>
      <c r="G748" t="s">
        <v>98</v>
      </c>
      <c r="H748" t="s">
        <v>99</v>
      </c>
      <c r="I748" s="4">
        <v>1177.23</v>
      </c>
      <c r="J748">
        <v>1</v>
      </c>
      <c r="K748" s="2">
        <v>0.1</v>
      </c>
      <c r="L748" s="4">
        <v>-23.15</v>
      </c>
      <c r="M748" t="s">
        <v>22</v>
      </c>
      <c r="N748" t="s">
        <v>39</v>
      </c>
      <c r="O748">
        <f>YEAR(Table1[[#This Row],[Order Date]])</f>
        <v>2024</v>
      </c>
      <c r="P748" t="str">
        <f>TEXT(Table1[[#This Row],[Order Date]],"mmmm")</f>
        <v>July</v>
      </c>
      <c r="Q748" t="str">
        <f>TEXT(Table1[[#This Row],[Order Date]],"mm")</f>
        <v>07</v>
      </c>
      <c r="R748" s="2">
        <f>Table1[[#This Row],[Profit]]/Table1[[#This Row],[Sales]]</f>
        <v>-1.9664806367489785E-2</v>
      </c>
      <c r="S748" t="str">
        <f t="shared" si="11"/>
        <v>Low (1-10%)</v>
      </c>
    </row>
    <row r="749" spans="1:19" x14ac:dyDescent="0.2">
      <c r="A749" t="s">
        <v>1506</v>
      </c>
      <c r="B749" s="3" t="s">
        <v>46</v>
      </c>
      <c r="C749" t="s">
        <v>661</v>
      </c>
      <c r="D749" t="s">
        <v>27</v>
      </c>
      <c r="E749" t="s">
        <v>43</v>
      </c>
      <c r="F749" t="s">
        <v>55</v>
      </c>
      <c r="G749" t="s">
        <v>98</v>
      </c>
      <c r="H749" t="s">
        <v>150</v>
      </c>
      <c r="I749" s="4">
        <v>4640.28</v>
      </c>
      <c r="J749">
        <v>4</v>
      </c>
      <c r="K749" s="2">
        <v>0.2</v>
      </c>
      <c r="L749" s="4">
        <v>203.85</v>
      </c>
      <c r="M749" t="s">
        <v>63</v>
      </c>
      <c r="N749" t="s">
        <v>76</v>
      </c>
      <c r="O749">
        <f>YEAR(Table1[[#This Row],[Order Date]])</f>
        <v>2025</v>
      </c>
      <c r="P749" t="str">
        <f>TEXT(Table1[[#This Row],[Order Date]],"mmmm")</f>
        <v>February</v>
      </c>
      <c r="Q749" t="str">
        <f>TEXT(Table1[[#This Row],[Order Date]],"mm")</f>
        <v>02</v>
      </c>
      <c r="R749" s="2">
        <f>Table1[[#This Row],[Profit]]/Table1[[#This Row],[Sales]]</f>
        <v>4.393053867439034E-2</v>
      </c>
      <c r="S749" t="str">
        <f t="shared" si="11"/>
        <v>Medium (11-20%)</v>
      </c>
    </row>
    <row r="750" spans="1:19" x14ac:dyDescent="0.2">
      <c r="A750" t="s">
        <v>1507</v>
      </c>
      <c r="B750" s="3" t="s">
        <v>900</v>
      </c>
      <c r="C750" t="s">
        <v>1508</v>
      </c>
      <c r="D750" t="s">
        <v>27</v>
      </c>
      <c r="E750" t="s">
        <v>61</v>
      </c>
      <c r="F750" t="s">
        <v>55</v>
      </c>
      <c r="G750" t="s">
        <v>56</v>
      </c>
      <c r="H750" t="s">
        <v>62</v>
      </c>
      <c r="I750" s="4">
        <v>6200.64</v>
      </c>
      <c r="J750">
        <v>6</v>
      </c>
      <c r="K750" s="2">
        <v>0.15</v>
      </c>
      <c r="L750" s="4">
        <v>667.92</v>
      </c>
      <c r="M750" t="s">
        <v>44</v>
      </c>
      <c r="N750" t="s">
        <v>23</v>
      </c>
      <c r="O750">
        <f>YEAR(Table1[[#This Row],[Order Date]])</f>
        <v>2024</v>
      </c>
      <c r="P750" t="str">
        <f>TEXT(Table1[[#This Row],[Order Date]],"mmmm")</f>
        <v>May</v>
      </c>
      <c r="Q750" t="str">
        <f>TEXT(Table1[[#This Row],[Order Date]],"mm")</f>
        <v>05</v>
      </c>
      <c r="R750" s="2">
        <f>Table1[[#This Row],[Profit]]/Table1[[#This Row],[Sales]]</f>
        <v>0.10771791298962687</v>
      </c>
      <c r="S750" t="str">
        <f t="shared" si="11"/>
        <v>Medium (11-20%)</v>
      </c>
    </row>
    <row r="751" spans="1:19" x14ac:dyDescent="0.2">
      <c r="A751" t="s">
        <v>1509</v>
      </c>
      <c r="B751" s="3" t="s">
        <v>313</v>
      </c>
      <c r="C751" t="s">
        <v>618</v>
      </c>
      <c r="D751" t="s">
        <v>27</v>
      </c>
      <c r="E751" t="s">
        <v>61</v>
      </c>
      <c r="F751" t="s">
        <v>67</v>
      </c>
      <c r="G751" t="s">
        <v>115</v>
      </c>
      <c r="H751" t="s">
        <v>178</v>
      </c>
      <c r="I751" s="4">
        <v>4179.6499999999996</v>
      </c>
      <c r="J751">
        <v>5</v>
      </c>
      <c r="K751" s="2">
        <v>0.1</v>
      </c>
      <c r="L751" s="4">
        <v>839.19</v>
      </c>
      <c r="M751" t="s">
        <v>44</v>
      </c>
      <c r="N751" t="s">
        <v>23</v>
      </c>
      <c r="O751">
        <f>YEAR(Table1[[#This Row],[Order Date]])</f>
        <v>2025</v>
      </c>
      <c r="P751" t="str">
        <f>TEXT(Table1[[#This Row],[Order Date]],"mmmm")</f>
        <v>April</v>
      </c>
      <c r="Q751" t="str">
        <f>TEXT(Table1[[#This Row],[Order Date]],"mm")</f>
        <v>04</v>
      </c>
      <c r="R751" s="2">
        <f>Table1[[#This Row],[Profit]]/Table1[[#This Row],[Sales]]</f>
        <v>0.2007799696146807</v>
      </c>
      <c r="S751" t="str">
        <f t="shared" si="11"/>
        <v>Low (1-10%)</v>
      </c>
    </row>
    <row r="752" spans="1:19" x14ac:dyDescent="0.2">
      <c r="A752" t="s">
        <v>1510</v>
      </c>
      <c r="B752" s="3" t="s">
        <v>612</v>
      </c>
      <c r="C752" t="s">
        <v>205</v>
      </c>
      <c r="D752" t="s">
        <v>137</v>
      </c>
      <c r="E752" t="s">
        <v>142</v>
      </c>
      <c r="F752" t="s">
        <v>67</v>
      </c>
      <c r="G752" t="s">
        <v>85</v>
      </c>
      <c r="H752" t="s">
        <v>253</v>
      </c>
      <c r="I752" s="4">
        <v>82.72</v>
      </c>
      <c r="J752">
        <v>4</v>
      </c>
      <c r="K752" s="2">
        <v>0.1</v>
      </c>
      <c r="L752" s="4">
        <v>26.42</v>
      </c>
      <c r="M752" t="s">
        <v>38</v>
      </c>
      <c r="N752" t="s">
        <v>39</v>
      </c>
      <c r="O752">
        <f>YEAR(Table1[[#This Row],[Order Date]])</f>
        <v>2025</v>
      </c>
      <c r="P752" t="str">
        <f>TEXT(Table1[[#This Row],[Order Date]],"mmmm")</f>
        <v>November</v>
      </c>
      <c r="Q752" t="str">
        <f>TEXT(Table1[[#This Row],[Order Date]],"mm")</f>
        <v>11</v>
      </c>
      <c r="R752" s="2">
        <f>Table1[[#This Row],[Profit]]/Table1[[#This Row],[Sales]]</f>
        <v>0.31939071566731142</v>
      </c>
      <c r="S752" t="str">
        <f t="shared" si="11"/>
        <v>Low (1-10%)</v>
      </c>
    </row>
    <row r="753" spans="1:19" x14ac:dyDescent="0.2">
      <c r="A753" t="s">
        <v>1511</v>
      </c>
      <c r="B753" s="3" t="s">
        <v>405</v>
      </c>
      <c r="C753" t="s">
        <v>378</v>
      </c>
      <c r="D753" t="s">
        <v>48</v>
      </c>
      <c r="E753" t="s">
        <v>73</v>
      </c>
      <c r="F753" t="s">
        <v>19</v>
      </c>
      <c r="G753" t="s">
        <v>36</v>
      </c>
      <c r="H753" t="s">
        <v>37</v>
      </c>
      <c r="I753" s="4">
        <v>2154.6</v>
      </c>
      <c r="J753">
        <v>4</v>
      </c>
      <c r="K753" s="2">
        <v>0.1</v>
      </c>
      <c r="L753" s="4">
        <v>354.4</v>
      </c>
      <c r="M753" t="s">
        <v>143</v>
      </c>
      <c r="N753" t="s">
        <v>23</v>
      </c>
      <c r="O753">
        <f>YEAR(Table1[[#This Row],[Order Date]])</f>
        <v>2025</v>
      </c>
      <c r="P753" t="str">
        <f>TEXT(Table1[[#This Row],[Order Date]],"mmmm")</f>
        <v>December</v>
      </c>
      <c r="Q753" t="str">
        <f>TEXT(Table1[[#This Row],[Order Date]],"mm")</f>
        <v>12</v>
      </c>
      <c r="R753" s="2">
        <f>Table1[[#This Row],[Profit]]/Table1[[#This Row],[Sales]]</f>
        <v>0.16448528729230483</v>
      </c>
      <c r="S753" t="str">
        <f t="shared" si="11"/>
        <v>Low (1-10%)</v>
      </c>
    </row>
    <row r="754" spans="1:19" x14ac:dyDescent="0.2">
      <c r="A754" t="s">
        <v>1512</v>
      </c>
      <c r="B754" s="3" t="s">
        <v>71</v>
      </c>
      <c r="C754" t="s">
        <v>1513</v>
      </c>
      <c r="D754" t="s">
        <v>48</v>
      </c>
      <c r="E754" t="s">
        <v>110</v>
      </c>
      <c r="F754" t="s">
        <v>19</v>
      </c>
      <c r="G754" t="s">
        <v>20</v>
      </c>
      <c r="H754" t="s">
        <v>347</v>
      </c>
      <c r="I754" s="4">
        <v>4813.68</v>
      </c>
      <c r="J754">
        <v>6</v>
      </c>
      <c r="K754" s="2">
        <v>0.05</v>
      </c>
      <c r="L754" s="4">
        <v>1324.31</v>
      </c>
      <c r="M754" t="s">
        <v>107</v>
      </c>
      <c r="N754" t="s">
        <v>23</v>
      </c>
      <c r="O754">
        <f>YEAR(Table1[[#This Row],[Order Date]])</f>
        <v>2024</v>
      </c>
      <c r="P754" t="str">
        <f>TEXT(Table1[[#This Row],[Order Date]],"mmmm")</f>
        <v>October</v>
      </c>
      <c r="Q754" t="str">
        <f>TEXT(Table1[[#This Row],[Order Date]],"mm")</f>
        <v>10</v>
      </c>
      <c r="R754" s="2">
        <f>Table1[[#This Row],[Profit]]/Table1[[#This Row],[Sales]]</f>
        <v>0.27511384221635005</v>
      </c>
      <c r="S754" t="str">
        <f t="shared" si="11"/>
        <v>Low (1-10%)</v>
      </c>
    </row>
    <row r="755" spans="1:19" x14ac:dyDescent="0.2">
      <c r="A755" t="s">
        <v>1514</v>
      </c>
      <c r="B755" s="3" t="s">
        <v>665</v>
      </c>
      <c r="C755" t="s">
        <v>297</v>
      </c>
      <c r="D755" t="s">
        <v>27</v>
      </c>
      <c r="E755" t="s">
        <v>43</v>
      </c>
      <c r="F755" t="s">
        <v>67</v>
      </c>
      <c r="G755" t="s">
        <v>85</v>
      </c>
      <c r="H755" t="s">
        <v>86</v>
      </c>
      <c r="I755" s="4">
        <v>3681.04</v>
      </c>
      <c r="J755">
        <v>4</v>
      </c>
      <c r="K755" s="2">
        <v>0</v>
      </c>
      <c r="L755" s="4">
        <v>1395.99</v>
      </c>
      <c r="M755" t="s">
        <v>38</v>
      </c>
      <c r="N755" t="s">
        <v>32</v>
      </c>
      <c r="O755">
        <f>YEAR(Table1[[#This Row],[Order Date]])</f>
        <v>2024</v>
      </c>
      <c r="P755" t="str">
        <f>TEXT(Table1[[#This Row],[Order Date]],"mmmm")</f>
        <v>July</v>
      </c>
      <c r="Q755" t="str">
        <f>TEXT(Table1[[#This Row],[Order Date]],"mm")</f>
        <v>07</v>
      </c>
      <c r="R755" s="2">
        <f>Table1[[#This Row],[Profit]]/Table1[[#This Row],[Sales]]</f>
        <v>0.37923793275813356</v>
      </c>
      <c r="S755" t="str">
        <f t="shared" si="11"/>
        <v>No Discount</v>
      </c>
    </row>
    <row r="756" spans="1:19" x14ac:dyDescent="0.2">
      <c r="A756" t="s">
        <v>1515</v>
      </c>
      <c r="B756" s="3" t="s">
        <v>397</v>
      </c>
      <c r="C756" t="s">
        <v>1508</v>
      </c>
      <c r="D756" t="s">
        <v>48</v>
      </c>
      <c r="E756" t="s">
        <v>73</v>
      </c>
      <c r="F756" t="s">
        <v>67</v>
      </c>
      <c r="G756" t="s">
        <v>68</v>
      </c>
      <c r="H756" t="s">
        <v>69</v>
      </c>
      <c r="I756" s="4">
        <v>1204.68</v>
      </c>
      <c r="J756">
        <v>4</v>
      </c>
      <c r="K756" s="2">
        <v>0.25</v>
      </c>
      <c r="L756" s="4">
        <v>85.7</v>
      </c>
      <c r="M756" t="s">
        <v>195</v>
      </c>
      <c r="N756" t="s">
        <v>23</v>
      </c>
      <c r="O756">
        <f>YEAR(Table1[[#This Row],[Order Date]])</f>
        <v>2025</v>
      </c>
      <c r="P756" t="str">
        <f>TEXT(Table1[[#This Row],[Order Date]],"mmmm")</f>
        <v>July</v>
      </c>
      <c r="Q756" t="str">
        <f>TEXT(Table1[[#This Row],[Order Date]],"mm")</f>
        <v>07</v>
      </c>
      <c r="R756" s="2">
        <f>Table1[[#This Row],[Profit]]/Table1[[#This Row],[Sales]]</f>
        <v>7.1139223694259054E-2</v>
      </c>
      <c r="S756" t="str">
        <f t="shared" si="11"/>
        <v>High (21-30%)</v>
      </c>
    </row>
    <row r="757" spans="1:19" x14ac:dyDescent="0.2">
      <c r="A757" t="s">
        <v>1516</v>
      </c>
      <c r="B757" s="3" t="s">
        <v>1517</v>
      </c>
      <c r="C757" t="s">
        <v>1508</v>
      </c>
      <c r="D757" t="s">
        <v>17</v>
      </c>
      <c r="E757" t="s">
        <v>80</v>
      </c>
      <c r="F757" t="s">
        <v>19</v>
      </c>
      <c r="G757" t="s">
        <v>29</v>
      </c>
      <c r="H757" t="s">
        <v>199</v>
      </c>
      <c r="I757" s="4">
        <v>715.54</v>
      </c>
      <c r="J757">
        <v>7</v>
      </c>
      <c r="K757" s="2">
        <v>0.25</v>
      </c>
      <c r="L757" s="4">
        <v>-42.17</v>
      </c>
      <c r="M757" t="s">
        <v>195</v>
      </c>
      <c r="N757" t="s">
        <v>39</v>
      </c>
      <c r="O757">
        <f>YEAR(Table1[[#This Row],[Order Date]])</f>
        <v>2024</v>
      </c>
      <c r="P757" t="str">
        <f>TEXT(Table1[[#This Row],[Order Date]],"mmmm")</f>
        <v>October</v>
      </c>
      <c r="Q757" t="str">
        <f>TEXT(Table1[[#This Row],[Order Date]],"mm")</f>
        <v>10</v>
      </c>
      <c r="R757" s="2">
        <f>Table1[[#This Row],[Profit]]/Table1[[#This Row],[Sales]]</f>
        <v>-5.893451099868631E-2</v>
      </c>
      <c r="S757" t="str">
        <f t="shared" si="11"/>
        <v>High (21-30%)</v>
      </c>
    </row>
    <row r="758" spans="1:19" x14ac:dyDescent="0.2">
      <c r="A758" t="s">
        <v>1518</v>
      </c>
      <c r="B758" s="3" t="s">
        <v>214</v>
      </c>
      <c r="C758" t="s">
        <v>1106</v>
      </c>
      <c r="D758" t="s">
        <v>48</v>
      </c>
      <c r="E758" t="s">
        <v>110</v>
      </c>
      <c r="F758" t="s">
        <v>55</v>
      </c>
      <c r="G758" t="s">
        <v>56</v>
      </c>
      <c r="H758" t="s">
        <v>57</v>
      </c>
      <c r="I758" s="4">
        <v>740.48</v>
      </c>
      <c r="J758">
        <v>2</v>
      </c>
      <c r="K758" s="2">
        <v>0.05</v>
      </c>
      <c r="L758" s="4">
        <v>154.49</v>
      </c>
      <c r="M758" t="s">
        <v>63</v>
      </c>
      <c r="N758" t="s">
        <v>39</v>
      </c>
      <c r="O758">
        <f>YEAR(Table1[[#This Row],[Order Date]])</f>
        <v>2025</v>
      </c>
      <c r="P758" t="str">
        <f>TEXT(Table1[[#This Row],[Order Date]],"mmmm")</f>
        <v>November</v>
      </c>
      <c r="Q758" t="str">
        <f>TEXT(Table1[[#This Row],[Order Date]],"mm")</f>
        <v>11</v>
      </c>
      <c r="R758" s="2">
        <f>Table1[[#This Row],[Profit]]/Table1[[#This Row],[Sales]]</f>
        <v>0.20863493949870354</v>
      </c>
      <c r="S758" t="str">
        <f t="shared" si="11"/>
        <v>Low (1-10%)</v>
      </c>
    </row>
    <row r="759" spans="1:19" x14ac:dyDescent="0.2">
      <c r="A759" t="s">
        <v>1519</v>
      </c>
      <c r="B759" s="3" t="s">
        <v>444</v>
      </c>
      <c r="C759" t="s">
        <v>966</v>
      </c>
      <c r="D759" t="s">
        <v>27</v>
      </c>
      <c r="E759" t="s">
        <v>43</v>
      </c>
      <c r="F759" t="s">
        <v>19</v>
      </c>
      <c r="G759" t="s">
        <v>36</v>
      </c>
      <c r="H759" t="s">
        <v>222</v>
      </c>
      <c r="I759" s="4">
        <v>7640.08</v>
      </c>
      <c r="J759">
        <v>7</v>
      </c>
      <c r="K759" s="2">
        <v>0.05</v>
      </c>
      <c r="L759" s="4">
        <v>494.35</v>
      </c>
      <c r="M759" t="s">
        <v>44</v>
      </c>
      <c r="N759" t="s">
        <v>39</v>
      </c>
      <c r="O759">
        <f>YEAR(Table1[[#This Row],[Order Date]])</f>
        <v>2025</v>
      </c>
      <c r="P759" t="str">
        <f>TEXT(Table1[[#This Row],[Order Date]],"mmmm")</f>
        <v>December</v>
      </c>
      <c r="Q759" t="str">
        <f>TEXT(Table1[[#This Row],[Order Date]],"mm")</f>
        <v>12</v>
      </c>
      <c r="R759" s="2">
        <f>Table1[[#This Row],[Profit]]/Table1[[#This Row],[Sales]]</f>
        <v>6.4704819844818379E-2</v>
      </c>
      <c r="S759" t="str">
        <f t="shared" si="11"/>
        <v>Low (1-10%)</v>
      </c>
    </row>
    <row r="760" spans="1:19" x14ac:dyDescent="0.2">
      <c r="A760" t="s">
        <v>1520</v>
      </c>
      <c r="B760" s="3" t="s">
        <v>968</v>
      </c>
      <c r="C760" t="s">
        <v>1072</v>
      </c>
      <c r="D760" t="s">
        <v>137</v>
      </c>
      <c r="E760" t="s">
        <v>142</v>
      </c>
      <c r="F760" t="s">
        <v>67</v>
      </c>
      <c r="G760" t="s">
        <v>115</v>
      </c>
      <c r="H760" t="s">
        <v>116</v>
      </c>
      <c r="I760" s="4">
        <v>5272.68</v>
      </c>
      <c r="J760">
        <v>7</v>
      </c>
      <c r="K760" s="2">
        <v>0.25</v>
      </c>
      <c r="L760" s="4">
        <v>915.73</v>
      </c>
      <c r="M760" t="s">
        <v>195</v>
      </c>
      <c r="N760" t="s">
        <v>39</v>
      </c>
      <c r="O760">
        <f>YEAR(Table1[[#This Row],[Order Date]])</f>
        <v>2025</v>
      </c>
      <c r="P760" t="str">
        <f>TEXT(Table1[[#This Row],[Order Date]],"mmmm")</f>
        <v>December</v>
      </c>
      <c r="Q760" t="str">
        <f>TEXT(Table1[[#This Row],[Order Date]],"mm")</f>
        <v>12</v>
      </c>
      <c r="R760" s="2">
        <f>Table1[[#This Row],[Profit]]/Table1[[#This Row],[Sales]]</f>
        <v>0.17367448811610034</v>
      </c>
      <c r="S760" t="str">
        <f t="shared" si="11"/>
        <v>High (21-30%)</v>
      </c>
    </row>
    <row r="761" spans="1:19" x14ac:dyDescent="0.2">
      <c r="A761" t="s">
        <v>1521</v>
      </c>
      <c r="B761" s="3" t="s">
        <v>470</v>
      </c>
      <c r="C761" t="s">
        <v>408</v>
      </c>
      <c r="D761" t="s">
        <v>17</v>
      </c>
      <c r="E761" t="s">
        <v>54</v>
      </c>
      <c r="F761" t="s">
        <v>55</v>
      </c>
      <c r="G761" t="s">
        <v>98</v>
      </c>
      <c r="H761" t="s">
        <v>99</v>
      </c>
      <c r="I761" s="4">
        <v>462.48</v>
      </c>
      <c r="J761">
        <v>2</v>
      </c>
      <c r="K761" s="2">
        <v>0</v>
      </c>
      <c r="L761" s="4">
        <v>93.63</v>
      </c>
      <c r="M761" t="s">
        <v>107</v>
      </c>
      <c r="N761" t="s">
        <v>23</v>
      </c>
      <c r="O761">
        <f>YEAR(Table1[[#This Row],[Order Date]])</f>
        <v>2024</v>
      </c>
      <c r="P761" t="str">
        <f>TEXT(Table1[[#This Row],[Order Date]],"mmmm")</f>
        <v>July</v>
      </c>
      <c r="Q761" t="str">
        <f>TEXT(Table1[[#This Row],[Order Date]],"mm")</f>
        <v>07</v>
      </c>
      <c r="R761" s="2">
        <f>Table1[[#This Row],[Profit]]/Table1[[#This Row],[Sales]]</f>
        <v>0.20245199792423454</v>
      </c>
      <c r="S761" t="str">
        <f t="shared" si="11"/>
        <v>No Discount</v>
      </c>
    </row>
    <row r="762" spans="1:19" x14ac:dyDescent="0.2">
      <c r="A762" t="s">
        <v>1522</v>
      </c>
      <c r="B762" s="3" t="s">
        <v>1523</v>
      </c>
      <c r="C762" t="s">
        <v>864</v>
      </c>
      <c r="D762" t="s">
        <v>137</v>
      </c>
      <c r="E762" t="s">
        <v>242</v>
      </c>
      <c r="F762" t="s">
        <v>67</v>
      </c>
      <c r="G762" t="s">
        <v>68</v>
      </c>
      <c r="H762" t="s">
        <v>382</v>
      </c>
      <c r="I762" s="4">
        <v>11579</v>
      </c>
      <c r="J762">
        <v>10</v>
      </c>
      <c r="K762" s="2">
        <v>0.05</v>
      </c>
      <c r="L762" s="4">
        <v>2792.93</v>
      </c>
      <c r="M762" t="s">
        <v>44</v>
      </c>
      <c r="N762" t="s">
        <v>76</v>
      </c>
      <c r="O762">
        <f>YEAR(Table1[[#This Row],[Order Date]])</f>
        <v>2025</v>
      </c>
      <c r="P762" t="str">
        <f>TEXT(Table1[[#This Row],[Order Date]],"mmmm")</f>
        <v>July</v>
      </c>
      <c r="Q762" t="str">
        <f>TEXT(Table1[[#This Row],[Order Date]],"mm")</f>
        <v>07</v>
      </c>
      <c r="R762" s="2">
        <f>Table1[[#This Row],[Profit]]/Table1[[#This Row],[Sales]]</f>
        <v>0.24120649451593401</v>
      </c>
      <c r="S762" t="str">
        <f t="shared" si="11"/>
        <v>Low (1-10%)</v>
      </c>
    </row>
    <row r="763" spans="1:19" x14ac:dyDescent="0.2">
      <c r="A763" t="s">
        <v>1524</v>
      </c>
      <c r="B763" s="3" t="s">
        <v>1525</v>
      </c>
      <c r="C763" t="s">
        <v>434</v>
      </c>
      <c r="D763" t="s">
        <v>17</v>
      </c>
      <c r="E763" t="s">
        <v>54</v>
      </c>
      <c r="F763" t="s">
        <v>19</v>
      </c>
      <c r="G763" t="s">
        <v>29</v>
      </c>
      <c r="H763" t="s">
        <v>50</v>
      </c>
      <c r="I763" s="4">
        <v>2221.6799999999998</v>
      </c>
      <c r="J763">
        <v>4</v>
      </c>
      <c r="K763" s="2">
        <v>0.3</v>
      </c>
      <c r="L763" s="4">
        <v>-422.62</v>
      </c>
      <c r="M763" t="s">
        <v>143</v>
      </c>
      <c r="N763" t="s">
        <v>76</v>
      </c>
      <c r="O763">
        <f>YEAR(Table1[[#This Row],[Order Date]])</f>
        <v>2024</v>
      </c>
      <c r="P763" t="str">
        <f>TEXT(Table1[[#This Row],[Order Date]],"mmmm")</f>
        <v>April</v>
      </c>
      <c r="Q763" t="str">
        <f>TEXT(Table1[[#This Row],[Order Date]],"mm")</f>
        <v>04</v>
      </c>
      <c r="R763" s="2">
        <f>Table1[[#This Row],[Profit]]/Table1[[#This Row],[Sales]]</f>
        <v>-0.19022541500126033</v>
      </c>
      <c r="S763" t="str">
        <f t="shared" si="11"/>
        <v>High (21-30%)</v>
      </c>
    </row>
    <row r="764" spans="1:19" x14ac:dyDescent="0.2">
      <c r="A764" t="s">
        <v>1526</v>
      </c>
      <c r="B764" s="3" t="s">
        <v>1527</v>
      </c>
      <c r="C764" t="s">
        <v>238</v>
      </c>
      <c r="D764" t="s">
        <v>27</v>
      </c>
      <c r="E764" t="s">
        <v>43</v>
      </c>
      <c r="F764" t="s">
        <v>19</v>
      </c>
      <c r="G764" t="s">
        <v>20</v>
      </c>
      <c r="H764" t="s">
        <v>239</v>
      </c>
      <c r="I764" s="4">
        <v>4955.28</v>
      </c>
      <c r="J764">
        <v>6</v>
      </c>
      <c r="K764" s="2">
        <v>0.25</v>
      </c>
      <c r="L764" s="4">
        <v>-849.92</v>
      </c>
      <c r="M764" t="s">
        <v>117</v>
      </c>
      <c r="N764" t="s">
        <v>23</v>
      </c>
      <c r="O764">
        <f>YEAR(Table1[[#This Row],[Order Date]])</f>
        <v>2024</v>
      </c>
      <c r="P764" t="str">
        <f>TEXT(Table1[[#This Row],[Order Date]],"mmmm")</f>
        <v>March</v>
      </c>
      <c r="Q764" t="str">
        <f>TEXT(Table1[[#This Row],[Order Date]],"mm")</f>
        <v>03</v>
      </c>
      <c r="R764" s="2">
        <f>Table1[[#This Row],[Profit]]/Table1[[#This Row],[Sales]]</f>
        <v>-0.17151805750633667</v>
      </c>
      <c r="S764" t="str">
        <f t="shared" si="11"/>
        <v>High (21-30%)</v>
      </c>
    </row>
    <row r="765" spans="1:19" x14ac:dyDescent="0.2">
      <c r="A765" t="s">
        <v>1528</v>
      </c>
      <c r="B765" s="3" t="s">
        <v>156</v>
      </c>
      <c r="C765" t="s">
        <v>843</v>
      </c>
      <c r="D765" t="s">
        <v>48</v>
      </c>
      <c r="E765" t="s">
        <v>73</v>
      </c>
      <c r="F765" t="s">
        <v>55</v>
      </c>
      <c r="G765" t="s">
        <v>98</v>
      </c>
      <c r="H765" t="s">
        <v>99</v>
      </c>
      <c r="I765" s="4">
        <v>1514.52</v>
      </c>
      <c r="J765">
        <v>3</v>
      </c>
      <c r="K765" s="2">
        <v>0.15</v>
      </c>
      <c r="L765" s="4">
        <v>445.91</v>
      </c>
      <c r="M765" t="s">
        <v>87</v>
      </c>
      <c r="N765" t="s">
        <v>32</v>
      </c>
      <c r="O765">
        <f>YEAR(Table1[[#This Row],[Order Date]])</f>
        <v>2024</v>
      </c>
      <c r="P765" t="str">
        <f>TEXT(Table1[[#This Row],[Order Date]],"mmmm")</f>
        <v>January</v>
      </c>
      <c r="Q765" t="str">
        <f>TEXT(Table1[[#This Row],[Order Date]],"mm")</f>
        <v>01</v>
      </c>
      <c r="R765" s="2">
        <f>Table1[[#This Row],[Profit]]/Table1[[#This Row],[Sales]]</f>
        <v>0.29442331563795793</v>
      </c>
      <c r="S765" t="str">
        <f t="shared" si="11"/>
        <v>Medium (11-20%)</v>
      </c>
    </row>
    <row r="766" spans="1:19" x14ac:dyDescent="0.2">
      <c r="A766" t="s">
        <v>1529</v>
      </c>
      <c r="B766" s="3" t="s">
        <v>307</v>
      </c>
      <c r="C766" t="s">
        <v>297</v>
      </c>
      <c r="D766" t="s">
        <v>27</v>
      </c>
      <c r="E766" t="s">
        <v>61</v>
      </c>
      <c r="F766" t="s">
        <v>55</v>
      </c>
      <c r="G766" t="s">
        <v>74</v>
      </c>
      <c r="H766" t="s">
        <v>272</v>
      </c>
      <c r="I766" s="4">
        <v>3465.36</v>
      </c>
      <c r="J766">
        <v>8</v>
      </c>
      <c r="K766" s="2">
        <v>0.1</v>
      </c>
      <c r="L766" s="4">
        <v>1181.2</v>
      </c>
      <c r="M766" t="s">
        <v>44</v>
      </c>
      <c r="N766" t="s">
        <v>39</v>
      </c>
      <c r="O766">
        <f>YEAR(Table1[[#This Row],[Order Date]])</f>
        <v>2025</v>
      </c>
      <c r="P766" t="str">
        <f>TEXT(Table1[[#This Row],[Order Date]],"mmmm")</f>
        <v>April</v>
      </c>
      <c r="Q766" t="str">
        <f>TEXT(Table1[[#This Row],[Order Date]],"mm")</f>
        <v>04</v>
      </c>
      <c r="R766" s="2">
        <f>Table1[[#This Row],[Profit]]/Table1[[#This Row],[Sales]]</f>
        <v>0.34085924694692615</v>
      </c>
      <c r="S766" t="str">
        <f t="shared" si="11"/>
        <v>Low (1-10%)</v>
      </c>
    </row>
    <row r="767" spans="1:19" x14ac:dyDescent="0.2">
      <c r="A767" t="s">
        <v>1530</v>
      </c>
      <c r="B767" s="3" t="s">
        <v>1039</v>
      </c>
      <c r="C767" t="s">
        <v>215</v>
      </c>
      <c r="D767" t="s">
        <v>48</v>
      </c>
      <c r="E767" t="s">
        <v>84</v>
      </c>
      <c r="F767" t="s">
        <v>55</v>
      </c>
      <c r="G767" t="s">
        <v>74</v>
      </c>
      <c r="H767" t="s">
        <v>75</v>
      </c>
      <c r="I767" s="4">
        <v>201.54</v>
      </c>
      <c r="J767">
        <v>6</v>
      </c>
      <c r="K767" s="2">
        <v>0.3</v>
      </c>
      <c r="L767" s="4">
        <v>26.21</v>
      </c>
      <c r="M767" t="s">
        <v>195</v>
      </c>
      <c r="N767" t="s">
        <v>32</v>
      </c>
      <c r="O767">
        <f>YEAR(Table1[[#This Row],[Order Date]])</f>
        <v>2024</v>
      </c>
      <c r="P767" t="str">
        <f>TEXT(Table1[[#This Row],[Order Date]],"mmmm")</f>
        <v>November</v>
      </c>
      <c r="Q767" t="str">
        <f>TEXT(Table1[[#This Row],[Order Date]],"mm")</f>
        <v>11</v>
      </c>
      <c r="R767" s="2">
        <f>Table1[[#This Row],[Profit]]/Table1[[#This Row],[Sales]]</f>
        <v>0.13004862558301084</v>
      </c>
      <c r="S767" t="str">
        <f t="shared" si="11"/>
        <v>High (21-30%)</v>
      </c>
    </row>
    <row r="768" spans="1:19" x14ac:dyDescent="0.2">
      <c r="A768" t="s">
        <v>1531</v>
      </c>
      <c r="B768" s="3" t="s">
        <v>1129</v>
      </c>
      <c r="C768" t="s">
        <v>932</v>
      </c>
      <c r="D768" t="s">
        <v>17</v>
      </c>
      <c r="E768" t="s">
        <v>54</v>
      </c>
      <c r="F768" t="s">
        <v>55</v>
      </c>
      <c r="G768" t="s">
        <v>56</v>
      </c>
      <c r="H768" t="s">
        <v>62</v>
      </c>
      <c r="I768" s="4">
        <v>8638.3799999999992</v>
      </c>
      <c r="J768">
        <v>9</v>
      </c>
      <c r="K768" s="2">
        <v>0.15</v>
      </c>
      <c r="L768" s="4">
        <v>1225.52</v>
      </c>
      <c r="M768" t="s">
        <v>44</v>
      </c>
      <c r="N768" t="s">
        <v>76</v>
      </c>
      <c r="O768">
        <f>YEAR(Table1[[#This Row],[Order Date]])</f>
        <v>2024</v>
      </c>
      <c r="P768" t="str">
        <f>TEXT(Table1[[#This Row],[Order Date]],"mmmm")</f>
        <v>March</v>
      </c>
      <c r="Q768" t="str">
        <f>TEXT(Table1[[#This Row],[Order Date]],"mm")</f>
        <v>03</v>
      </c>
      <c r="R768" s="2">
        <f>Table1[[#This Row],[Profit]]/Table1[[#This Row],[Sales]]</f>
        <v>0.14186919306629253</v>
      </c>
      <c r="S768" t="str">
        <f t="shared" si="11"/>
        <v>Medium (11-20%)</v>
      </c>
    </row>
    <row r="769" spans="1:19" x14ac:dyDescent="0.2">
      <c r="A769" t="s">
        <v>1532</v>
      </c>
      <c r="B769" s="3" t="s">
        <v>1533</v>
      </c>
      <c r="C769" t="s">
        <v>343</v>
      </c>
      <c r="D769" t="s">
        <v>137</v>
      </c>
      <c r="E769" t="s">
        <v>242</v>
      </c>
      <c r="F769" t="s">
        <v>19</v>
      </c>
      <c r="G769" t="s">
        <v>29</v>
      </c>
      <c r="H769" t="s">
        <v>50</v>
      </c>
      <c r="I769" s="4">
        <v>2137.08</v>
      </c>
      <c r="J769">
        <v>3</v>
      </c>
      <c r="K769" s="2">
        <v>0.15</v>
      </c>
      <c r="L769" s="4">
        <v>261.5</v>
      </c>
      <c r="M769" t="s">
        <v>44</v>
      </c>
      <c r="N769" t="s">
        <v>39</v>
      </c>
      <c r="O769">
        <f>YEAR(Table1[[#This Row],[Order Date]])</f>
        <v>2025</v>
      </c>
      <c r="P769" t="str">
        <f>TEXT(Table1[[#This Row],[Order Date]],"mmmm")</f>
        <v>June</v>
      </c>
      <c r="Q769" t="str">
        <f>TEXT(Table1[[#This Row],[Order Date]],"mm")</f>
        <v>06</v>
      </c>
      <c r="R769" s="2">
        <f>Table1[[#This Row],[Profit]]/Table1[[#This Row],[Sales]]</f>
        <v>0.12236322458681941</v>
      </c>
      <c r="S769" t="str">
        <f t="shared" si="11"/>
        <v>Medium (11-20%)</v>
      </c>
    </row>
    <row r="770" spans="1:19" x14ac:dyDescent="0.2">
      <c r="A770" t="s">
        <v>1534</v>
      </c>
      <c r="B770" s="3" t="s">
        <v>472</v>
      </c>
      <c r="C770" t="s">
        <v>1006</v>
      </c>
      <c r="D770" t="s">
        <v>48</v>
      </c>
      <c r="E770" t="s">
        <v>84</v>
      </c>
      <c r="F770" t="s">
        <v>67</v>
      </c>
      <c r="G770" t="s">
        <v>85</v>
      </c>
      <c r="H770" t="s">
        <v>125</v>
      </c>
      <c r="I770" s="4">
        <v>140.57</v>
      </c>
      <c r="J770">
        <v>1</v>
      </c>
      <c r="K770" s="2">
        <v>0.1</v>
      </c>
      <c r="L770" s="4">
        <v>-6.02</v>
      </c>
      <c r="M770" t="s">
        <v>117</v>
      </c>
      <c r="N770" t="s">
        <v>32</v>
      </c>
      <c r="O770">
        <f>YEAR(Table1[[#This Row],[Order Date]])</f>
        <v>2025</v>
      </c>
      <c r="P770" t="str">
        <f>TEXT(Table1[[#This Row],[Order Date]],"mmmm")</f>
        <v>August</v>
      </c>
      <c r="Q770" t="str">
        <f>TEXT(Table1[[#This Row],[Order Date]],"mm")</f>
        <v>08</v>
      </c>
      <c r="R770" s="2">
        <f>Table1[[#This Row],[Profit]]/Table1[[#This Row],[Sales]]</f>
        <v>-4.2825638471935691E-2</v>
      </c>
      <c r="S770" t="str">
        <f t="shared" ref="S770:S833" si="12">IF(K770=0,"No Discount",
IF(K770&lt;=0.1,"Low (1-10%)",
IF(K770&lt;=0.2,"Medium (11-20%)",
IF(K770&lt;=0.3,"High (21-30%)","Very High (&gt;30%)"))))</f>
        <v>Low (1-10%)</v>
      </c>
    </row>
    <row r="771" spans="1:19" x14ac:dyDescent="0.2">
      <c r="A771" t="s">
        <v>1535</v>
      </c>
      <c r="B771" s="3" t="s">
        <v>220</v>
      </c>
      <c r="C771" t="s">
        <v>262</v>
      </c>
      <c r="D771" t="s">
        <v>48</v>
      </c>
      <c r="E771" t="s">
        <v>110</v>
      </c>
      <c r="F771" t="s">
        <v>67</v>
      </c>
      <c r="G771" t="s">
        <v>85</v>
      </c>
      <c r="H771" t="s">
        <v>253</v>
      </c>
      <c r="I771" s="4">
        <v>7473.4</v>
      </c>
      <c r="J771">
        <v>10</v>
      </c>
      <c r="K771" s="2">
        <v>0.15</v>
      </c>
      <c r="L771" s="4">
        <v>1376.69</v>
      </c>
      <c r="M771" t="s">
        <v>87</v>
      </c>
      <c r="N771" t="s">
        <v>76</v>
      </c>
      <c r="O771">
        <f>YEAR(Table1[[#This Row],[Order Date]])</f>
        <v>2024</v>
      </c>
      <c r="P771" t="str">
        <f>TEXT(Table1[[#This Row],[Order Date]],"mmmm")</f>
        <v>November</v>
      </c>
      <c r="Q771" t="str">
        <f>TEXT(Table1[[#This Row],[Order Date]],"mm")</f>
        <v>11</v>
      </c>
      <c r="R771" s="2">
        <f>Table1[[#This Row],[Profit]]/Table1[[#This Row],[Sales]]</f>
        <v>0.1842120052452699</v>
      </c>
      <c r="S771" t="str">
        <f t="shared" si="12"/>
        <v>Medium (11-20%)</v>
      </c>
    </row>
    <row r="772" spans="1:19" x14ac:dyDescent="0.2">
      <c r="A772" t="s">
        <v>1536</v>
      </c>
      <c r="B772" s="3" t="s">
        <v>1537</v>
      </c>
      <c r="C772" t="s">
        <v>60</v>
      </c>
      <c r="D772" t="s">
        <v>48</v>
      </c>
      <c r="E772" t="s">
        <v>110</v>
      </c>
      <c r="F772" t="s">
        <v>55</v>
      </c>
      <c r="G772" t="s">
        <v>98</v>
      </c>
      <c r="H772" t="s">
        <v>99</v>
      </c>
      <c r="I772" s="4">
        <v>4842.6400000000003</v>
      </c>
      <c r="J772">
        <v>8</v>
      </c>
      <c r="K772" s="2">
        <v>0.1</v>
      </c>
      <c r="L772" s="4">
        <v>848.56</v>
      </c>
      <c r="M772" t="s">
        <v>44</v>
      </c>
      <c r="N772" t="s">
        <v>32</v>
      </c>
      <c r="O772">
        <f>YEAR(Table1[[#This Row],[Order Date]])</f>
        <v>2024</v>
      </c>
      <c r="P772" t="str">
        <f>TEXT(Table1[[#This Row],[Order Date]],"mmmm")</f>
        <v>February</v>
      </c>
      <c r="Q772" t="str">
        <f>TEXT(Table1[[#This Row],[Order Date]],"mm")</f>
        <v>02</v>
      </c>
      <c r="R772" s="2">
        <f>Table1[[#This Row],[Profit]]/Table1[[#This Row],[Sales]]</f>
        <v>0.17522673583004308</v>
      </c>
      <c r="S772" t="str">
        <f t="shared" si="12"/>
        <v>Low (1-10%)</v>
      </c>
    </row>
    <row r="773" spans="1:19" x14ac:dyDescent="0.2">
      <c r="A773" t="s">
        <v>1538</v>
      </c>
      <c r="B773" s="3" t="s">
        <v>1539</v>
      </c>
      <c r="C773" t="s">
        <v>608</v>
      </c>
      <c r="D773" t="s">
        <v>137</v>
      </c>
      <c r="E773" t="s">
        <v>138</v>
      </c>
      <c r="F773" t="s">
        <v>19</v>
      </c>
      <c r="G773" t="s">
        <v>20</v>
      </c>
      <c r="H773" t="s">
        <v>21</v>
      </c>
      <c r="I773" s="4">
        <v>890.08</v>
      </c>
      <c r="J773">
        <v>1</v>
      </c>
      <c r="K773" s="2">
        <v>0.2</v>
      </c>
      <c r="L773" s="4">
        <v>70.09</v>
      </c>
      <c r="M773" t="s">
        <v>107</v>
      </c>
      <c r="N773" t="s">
        <v>23</v>
      </c>
      <c r="O773">
        <f>YEAR(Table1[[#This Row],[Order Date]])</f>
        <v>2025</v>
      </c>
      <c r="P773" t="str">
        <f>TEXT(Table1[[#This Row],[Order Date]],"mmmm")</f>
        <v>December</v>
      </c>
      <c r="Q773" t="str">
        <f>TEXT(Table1[[#This Row],[Order Date]],"mm")</f>
        <v>12</v>
      </c>
      <c r="R773" s="2">
        <f>Table1[[#This Row],[Profit]]/Table1[[#This Row],[Sales]]</f>
        <v>7.8745730720834087E-2</v>
      </c>
      <c r="S773" t="str">
        <f t="shared" si="12"/>
        <v>Medium (11-20%)</v>
      </c>
    </row>
    <row r="774" spans="1:19" x14ac:dyDescent="0.2">
      <c r="A774" t="s">
        <v>1540</v>
      </c>
      <c r="B774" s="3" t="s">
        <v>1541</v>
      </c>
      <c r="C774" t="s">
        <v>292</v>
      </c>
      <c r="D774" t="s">
        <v>48</v>
      </c>
      <c r="E774" t="s">
        <v>84</v>
      </c>
      <c r="F774" t="s">
        <v>67</v>
      </c>
      <c r="G774" t="s">
        <v>85</v>
      </c>
      <c r="H774" t="s">
        <v>253</v>
      </c>
      <c r="I774" s="4">
        <v>2484.7800000000002</v>
      </c>
      <c r="J774">
        <v>3</v>
      </c>
      <c r="K774" s="2">
        <v>0.3</v>
      </c>
      <c r="L774" s="4">
        <v>-576.89</v>
      </c>
      <c r="M774" t="s">
        <v>195</v>
      </c>
      <c r="N774" t="s">
        <v>32</v>
      </c>
      <c r="O774">
        <f>YEAR(Table1[[#This Row],[Order Date]])</f>
        <v>2025</v>
      </c>
      <c r="P774" t="str">
        <f>TEXT(Table1[[#This Row],[Order Date]],"mmmm")</f>
        <v>December</v>
      </c>
      <c r="Q774" t="str">
        <f>TEXT(Table1[[#This Row],[Order Date]],"mm")</f>
        <v>12</v>
      </c>
      <c r="R774" s="2">
        <f>Table1[[#This Row],[Profit]]/Table1[[#This Row],[Sales]]</f>
        <v>-0.23216944759697034</v>
      </c>
      <c r="S774" t="str">
        <f t="shared" si="12"/>
        <v>High (21-30%)</v>
      </c>
    </row>
    <row r="775" spans="1:19" x14ac:dyDescent="0.2">
      <c r="A775" t="s">
        <v>1542</v>
      </c>
      <c r="B775" s="3" t="s">
        <v>1168</v>
      </c>
      <c r="C775" t="s">
        <v>358</v>
      </c>
      <c r="D775" t="s">
        <v>48</v>
      </c>
      <c r="E775" t="s">
        <v>84</v>
      </c>
      <c r="F775" t="s">
        <v>55</v>
      </c>
      <c r="G775" t="s">
        <v>74</v>
      </c>
      <c r="H775" t="s">
        <v>133</v>
      </c>
      <c r="I775" s="4">
        <v>1459.84</v>
      </c>
      <c r="J775">
        <v>8</v>
      </c>
      <c r="K775" s="2">
        <v>0.3</v>
      </c>
      <c r="L775" s="4">
        <v>-27.8</v>
      </c>
      <c r="M775" t="s">
        <v>31</v>
      </c>
      <c r="N775" t="s">
        <v>76</v>
      </c>
      <c r="O775">
        <f>YEAR(Table1[[#This Row],[Order Date]])</f>
        <v>2025</v>
      </c>
      <c r="P775" t="str">
        <f>TEXT(Table1[[#This Row],[Order Date]],"mmmm")</f>
        <v>March</v>
      </c>
      <c r="Q775" t="str">
        <f>TEXT(Table1[[#This Row],[Order Date]],"mm")</f>
        <v>03</v>
      </c>
      <c r="R775" s="2">
        <f>Table1[[#This Row],[Profit]]/Table1[[#This Row],[Sales]]</f>
        <v>-1.9043182814555023E-2</v>
      </c>
      <c r="S775" t="str">
        <f t="shared" si="12"/>
        <v>High (21-30%)</v>
      </c>
    </row>
    <row r="776" spans="1:19" x14ac:dyDescent="0.2">
      <c r="A776" t="s">
        <v>1543</v>
      </c>
      <c r="B776" s="3" t="s">
        <v>1544</v>
      </c>
      <c r="C776" t="s">
        <v>841</v>
      </c>
      <c r="D776" t="s">
        <v>48</v>
      </c>
      <c r="E776" t="s">
        <v>49</v>
      </c>
      <c r="F776" t="s">
        <v>19</v>
      </c>
      <c r="G776" t="s">
        <v>36</v>
      </c>
      <c r="H776" t="s">
        <v>111</v>
      </c>
      <c r="I776" s="4">
        <v>1401.72</v>
      </c>
      <c r="J776">
        <v>3</v>
      </c>
      <c r="K776" s="2">
        <v>0.05</v>
      </c>
      <c r="L776" s="4">
        <v>475.83</v>
      </c>
      <c r="M776" t="s">
        <v>117</v>
      </c>
      <c r="N776" t="s">
        <v>23</v>
      </c>
      <c r="O776">
        <f>YEAR(Table1[[#This Row],[Order Date]])</f>
        <v>2024</v>
      </c>
      <c r="P776" t="str">
        <f>TEXT(Table1[[#This Row],[Order Date]],"mmmm")</f>
        <v>June</v>
      </c>
      <c r="Q776" t="str">
        <f>TEXT(Table1[[#This Row],[Order Date]],"mm")</f>
        <v>06</v>
      </c>
      <c r="R776" s="2">
        <f>Table1[[#This Row],[Profit]]/Table1[[#This Row],[Sales]]</f>
        <v>0.33946151870559027</v>
      </c>
      <c r="S776" t="str">
        <f t="shared" si="12"/>
        <v>Low (1-10%)</v>
      </c>
    </row>
    <row r="777" spans="1:19" x14ac:dyDescent="0.2">
      <c r="A777" t="s">
        <v>1545</v>
      </c>
      <c r="B777" s="3" t="s">
        <v>1546</v>
      </c>
      <c r="C777" t="s">
        <v>608</v>
      </c>
      <c r="D777" t="s">
        <v>17</v>
      </c>
      <c r="E777" t="s">
        <v>54</v>
      </c>
      <c r="F777" t="s">
        <v>55</v>
      </c>
      <c r="G777" t="s">
        <v>74</v>
      </c>
      <c r="H777" t="s">
        <v>75</v>
      </c>
      <c r="I777" s="4">
        <v>565.95000000000005</v>
      </c>
      <c r="J777">
        <v>5</v>
      </c>
      <c r="K777" s="2">
        <v>0.1</v>
      </c>
      <c r="L777" s="4">
        <v>167.24</v>
      </c>
      <c r="M777" t="s">
        <v>38</v>
      </c>
      <c r="N777" t="s">
        <v>23</v>
      </c>
      <c r="O777">
        <f>YEAR(Table1[[#This Row],[Order Date]])</f>
        <v>2024</v>
      </c>
      <c r="P777" t="str">
        <f>TEXT(Table1[[#This Row],[Order Date]],"mmmm")</f>
        <v>October</v>
      </c>
      <c r="Q777" t="str">
        <f>TEXT(Table1[[#This Row],[Order Date]],"mm")</f>
        <v>10</v>
      </c>
      <c r="R777" s="2">
        <f>Table1[[#This Row],[Profit]]/Table1[[#This Row],[Sales]]</f>
        <v>0.29550313631946284</v>
      </c>
      <c r="S777" t="str">
        <f t="shared" si="12"/>
        <v>Low (1-10%)</v>
      </c>
    </row>
    <row r="778" spans="1:19" x14ac:dyDescent="0.2">
      <c r="A778" t="s">
        <v>1547</v>
      </c>
      <c r="B778" s="3" t="s">
        <v>695</v>
      </c>
      <c r="C778" t="s">
        <v>93</v>
      </c>
      <c r="D778" t="s">
        <v>137</v>
      </c>
      <c r="E778" t="s">
        <v>142</v>
      </c>
      <c r="F778" t="s">
        <v>19</v>
      </c>
      <c r="G778" t="s">
        <v>36</v>
      </c>
      <c r="H778" t="s">
        <v>111</v>
      </c>
      <c r="I778" s="4">
        <v>8168.3</v>
      </c>
      <c r="J778">
        <v>10</v>
      </c>
      <c r="K778" s="2">
        <v>0.3</v>
      </c>
      <c r="L778" s="4">
        <v>506.17</v>
      </c>
      <c r="M778" t="s">
        <v>87</v>
      </c>
      <c r="N778" t="s">
        <v>23</v>
      </c>
      <c r="O778">
        <f>YEAR(Table1[[#This Row],[Order Date]])</f>
        <v>2025</v>
      </c>
      <c r="P778" t="str">
        <f>TEXT(Table1[[#This Row],[Order Date]],"mmmm")</f>
        <v>July</v>
      </c>
      <c r="Q778" t="str">
        <f>TEXT(Table1[[#This Row],[Order Date]],"mm")</f>
        <v>07</v>
      </c>
      <c r="R778" s="2">
        <f>Table1[[#This Row],[Profit]]/Table1[[#This Row],[Sales]]</f>
        <v>6.1967606478704258E-2</v>
      </c>
      <c r="S778" t="str">
        <f t="shared" si="12"/>
        <v>High (21-30%)</v>
      </c>
    </row>
    <row r="779" spans="1:19" x14ac:dyDescent="0.2">
      <c r="A779" t="s">
        <v>1548</v>
      </c>
      <c r="B779" s="3" t="s">
        <v>897</v>
      </c>
      <c r="C779" t="s">
        <v>1101</v>
      </c>
      <c r="D779" t="s">
        <v>17</v>
      </c>
      <c r="E779" t="s">
        <v>97</v>
      </c>
      <c r="F779" t="s">
        <v>55</v>
      </c>
      <c r="G779" t="s">
        <v>56</v>
      </c>
      <c r="H779" t="s">
        <v>129</v>
      </c>
      <c r="I779" s="4">
        <v>6532.68</v>
      </c>
      <c r="J779">
        <v>7</v>
      </c>
      <c r="K779" s="2">
        <v>0.3</v>
      </c>
      <c r="L779" s="4">
        <v>542.11</v>
      </c>
      <c r="M779" t="s">
        <v>107</v>
      </c>
      <c r="N779" t="s">
        <v>39</v>
      </c>
      <c r="O779">
        <f>YEAR(Table1[[#This Row],[Order Date]])</f>
        <v>2024</v>
      </c>
      <c r="P779" t="str">
        <f>TEXT(Table1[[#This Row],[Order Date]],"mmmm")</f>
        <v>March</v>
      </c>
      <c r="Q779" t="str">
        <f>TEXT(Table1[[#This Row],[Order Date]],"mm")</f>
        <v>03</v>
      </c>
      <c r="R779" s="2">
        <f>Table1[[#This Row],[Profit]]/Table1[[#This Row],[Sales]]</f>
        <v>8.2984318840047269E-2</v>
      </c>
      <c r="S779" t="str">
        <f t="shared" si="12"/>
        <v>High (21-30%)</v>
      </c>
    </row>
    <row r="780" spans="1:19" x14ac:dyDescent="0.2">
      <c r="A780" t="s">
        <v>1549</v>
      </c>
      <c r="B780" s="3" t="s">
        <v>339</v>
      </c>
      <c r="C780" t="s">
        <v>733</v>
      </c>
      <c r="D780" t="s">
        <v>27</v>
      </c>
      <c r="E780" t="s">
        <v>28</v>
      </c>
      <c r="F780" t="s">
        <v>67</v>
      </c>
      <c r="G780" t="s">
        <v>85</v>
      </c>
      <c r="H780" t="s">
        <v>125</v>
      </c>
      <c r="I780" s="4">
        <v>5176.3999999999996</v>
      </c>
      <c r="J780">
        <v>8</v>
      </c>
      <c r="K780" s="2">
        <v>0.15</v>
      </c>
      <c r="L780" s="4">
        <v>761.34</v>
      </c>
      <c r="M780" t="s">
        <v>117</v>
      </c>
      <c r="N780" t="s">
        <v>23</v>
      </c>
      <c r="O780">
        <f>YEAR(Table1[[#This Row],[Order Date]])</f>
        <v>2025</v>
      </c>
      <c r="P780" t="str">
        <f>TEXT(Table1[[#This Row],[Order Date]],"mmmm")</f>
        <v>September</v>
      </c>
      <c r="Q780" t="str">
        <f>TEXT(Table1[[#This Row],[Order Date]],"mm")</f>
        <v>09</v>
      </c>
      <c r="R780" s="2">
        <f>Table1[[#This Row],[Profit]]/Table1[[#This Row],[Sales]]</f>
        <v>0.14707905107796926</v>
      </c>
      <c r="S780" t="str">
        <f t="shared" si="12"/>
        <v>Medium (11-20%)</v>
      </c>
    </row>
    <row r="781" spans="1:19" x14ac:dyDescent="0.2">
      <c r="A781" t="s">
        <v>1550</v>
      </c>
      <c r="B781" s="3" t="s">
        <v>998</v>
      </c>
      <c r="C781" t="s">
        <v>308</v>
      </c>
      <c r="D781" t="s">
        <v>27</v>
      </c>
      <c r="E781" t="s">
        <v>61</v>
      </c>
      <c r="F781" t="s">
        <v>19</v>
      </c>
      <c r="G781" t="s">
        <v>29</v>
      </c>
      <c r="H781" t="s">
        <v>199</v>
      </c>
      <c r="I781" s="4">
        <v>9179.91</v>
      </c>
      <c r="J781">
        <v>9</v>
      </c>
      <c r="K781" s="2">
        <v>0.25</v>
      </c>
      <c r="L781" s="4">
        <v>1461.09</v>
      </c>
      <c r="M781" t="s">
        <v>31</v>
      </c>
      <c r="N781" t="s">
        <v>32</v>
      </c>
      <c r="O781">
        <f>YEAR(Table1[[#This Row],[Order Date]])</f>
        <v>2025</v>
      </c>
      <c r="P781" t="str">
        <f>TEXT(Table1[[#This Row],[Order Date]],"mmmm")</f>
        <v>August</v>
      </c>
      <c r="Q781" t="str">
        <f>TEXT(Table1[[#This Row],[Order Date]],"mm")</f>
        <v>08</v>
      </c>
      <c r="R781" s="2">
        <f>Table1[[#This Row],[Profit]]/Table1[[#This Row],[Sales]]</f>
        <v>0.1591616911276908</v>
      </c>
      <c r="S781" t="str">
        <f t="shared" si="12"/>
        <v>High (21-30%)</v>
      </c>
    </row>
    <row r="782" spans="1:19" x14ac:dyDescent="0.2">
      <c r="A782" t="s">
        <v>1551</v>
      </c>
      <c r="B782" s="3" t="s">
        <v>654</v>
      </c>
      <c r="C782" t="s">
        <v>205</v>
      </c>
      <c r="D782" t="s">
        <v>48</v>
      </c>
      <c r="E782" t="s">
        <v>110</v>
      </c>
      <c r="F782" t="s">
        <v>67</v>
      </c>
      <c r="G782" t="s">
        <v>68</v>
      </c>
      <c r="H782" t="s">
        <v>103</v>
      </c>
      <c r="I782" s="4">
        <v>1034.8800000000001</v>
      </c>
      <c r="J782">
        <v>2</v>
      </c>
      <c r="K782" s="2">
        <v>0.1</v>
      </c>
      <c r="L782" s="4">
        <v>15.81</v>
      </c>
      <c r="M782" t="s">
        <v>63</v>
      </c>
      <c r="N782" t="s">
        <v>39</v>
      </c>
      <c r="O782">
        <f>YEAR(Table1[[#This Row],[Order Date]])</f>
        <v>2025</v>
      </c>
      <c r="P782" t="str">
        <f>TEXT(Table1[[#This Row],[Order Date]],"mmmm")</f>
        <v>September</v>
      </c>
      <c r="Q782" t="str">
        <f>TEXT(Table1[[#This Row],[Order Date]],"mm")</f>
        <v>09</v>
      </c>
      <c r="R782" s="2">
        <f>Table1[[#This Row],[Profit]]/Table1[[#This Row],[Sales]]</f>
        <v>1.5277133580705008E-2</v>
      </c>
      <c r="S782" t="str">
        <f t="shared" si="12"/>
        <v>Low (1-10%)</v>
      </c>
    </row>
    <row r="783" spans="1:19" x14ac:dyDescent="0.2">
      <c r="A783" t="s">
        <v>1552</v>
      </c>
      <c r="B783" s="3" t="s">
        <v>1553</v>
      </c>
      <c r="C783" t="s">
        <v>208</v>
      </c>
      <c r="D783" t="s">
        <v>48</v>
      </c>
      <c r="E783" t="s">
        <v>73</v>
      </c>
      <c r="F783" t="s">
        <v>55</v>
      </c>
      <c r="G783" t="s">
        <v>98</v>
      </c>
      <c r="H783" t="s">
        <v>154</v>
      </c>
      <c r="I783" s="4">
        <v>6617.6</v>
      </c>
      <c r="J783">
        <v>10</v>
      </c>
      <c r="K783" s="2">
        <v>0.2</v>
      </c>
      <c r="L783" s="4">
        <v>1303.81</v>
      </c>
      <c r="M783" t="s">
        <v>87</v>
      </c>
      <c r="N783" t="s">
        <v>32</v>
      </c>
      <c r="O783">
        <f>YEAR(Table1[[#This Row],[Order Date]])</f>
        <v>2025</v>
      </c>
      <c r="P783" t="str">
        <f>TEXT(Table1[[#This Row],[Order Date]],"mmmm")</f>
        <v>September</v>
      </c>
      <c r="Q783" t="str">
        <f>TEXT(Table1[[#This Row],[Order Date]],"mm")</f>
        <v>09</v>
      </c>
      <c r="R783" s="2">
        <f>Table1[[#This Row],[Profit]]/Table1[[#This Row],[Sales]]</f>
        <v>0.19702157882011603</v>
      </c>
      <c r="S783" t="str">
        <f t="shared" si="12"/>
        <v>Medium (11-20%)</v>
      </c>
    </row>
    <row r="784" spans="1:19" x14ac:dyDescent="0.2">
      <c r="A784" t="s">
        <v>1554</v>
      </c>
      <c r="B784" s="3" t="s">
        <v>377</v>
      </c>
      <c r="C784" t="s">
        <v>114</v>
      </c>
      <c r="D784" t="s">
        <v>137</v>
      </c>
      <c r="E784" t="s">
        <v>160</v>
      </c>
      <c r="F784" t="s">
        <v>67</v>
      </c>
      <c r="G784" t="s">
        <v>85</v>
      </c>
      <c r="H784" t="s">
        <v>86</v>
      </c>
      <c r="I784" s="4">
        <v>2541.48</v>
      </c>
      <c r="J784">
        <v>4</v>
      </c>
      <c r="K784" s="2">
        <v>0.05</v>
      </c>
      <c r="L784" s="4">
        <v>879.33</v>
      </c>
      <c r="M784" t="s">
        <v>107</v>
      </c>
      <c r="N784" t="s">
        <v>76</v>
      </c>
      <c r="O784">
        <f>YEAR(Table1[[#This Row],[Order Date]])</f>
        <v>2024</v>
      </c>
      <c r="P784" t="str">
        <f>TEXT(Table1[[#This Row],[Order Date]],"mmmm")</f>
        <v>April</v>
      </c>
      <c r="Q784" t="str">
        <f>TEXT(Table1[[#This Row],[Order Date]],"mm")</f>
        <v>04</v>
      </c>
      <c r="R784" s="2">
        <f>Table1[[#This Row],[Profit]]/Table1[[#This Row],[Sales]]</f>
        <v>0.34599131214882667</v>
      </c>
      <c r="S784" t="str">
        <f t="shared" si="12"/>
        <v>Low (1-10%)</v>
      </c>
    </row>
    <row r="785" spans="1:19" x14ac:dyDescent="0.2">
      <c r="A785" t="s">
        <v>1555</v>
      </c>
      <c r="B785" s="3" t="s">
        <v>931</v>
      </c>
      <c r="C785" t="s">
        <v>566</v>
      </c>
      <c r="D785" t="s">
        <v>137</v>
      </c>
      <c r="E785" t="s">
        <v>242</v>
      </c>
      <c r="F785" t="s">
        <v>55</v>
      </c>
      <c r="G785" t="s">
        <v>98</v>
      </c>
      <c r="H785" t="s">
        <v>150</v>
      </c>
      <c r="I785" s="4">
        <v>10389.33</v>
      </c>
      <c r="J785">
        <v>9</v>
      </c>
      <c r="K785" s="2">
        <v>0.05</v>
      </c>
      <c r="L785" s="4">
        <v>538.84</v>
      </c>
      <c r="M785" t="s">
        <v>143</v>
      </c>
      <c r="N785" t="s">
        <v>32</v>
      </c>
      <c r="O785">
        <f>YEAR(Table1[[#This Row],[Order Date]])</f>
        <v>2025</v>
      </c>
      <c r="P785" t="str">
        <f>TEXT(Table1[[#This Row],[Order Date]],"mmmm")</f>
        <v>July</v>
      </c>
      <c r="Q785" t="str">
        <f>TEXT(Table1[[#This Row],[Order Date]],"mm")</f>
        <v>07</v>
      </c>
      <c r="R785" s="2">
        <f>Table1[[#This Row],[Profit]]/Table1[[#This Row],[Sales]]</f>
        <v>5.186474969993253E-2</v>
      </c>
      <c r="S785" t="str">
        <f t="shared" si="12"/>
        <v>Low (1-10%)</v>
      </c>
    </row>
    <row r="786" spans="1:19" x14ac:dyDescent="0.2">
      <c r="A786" t="s">
        <v>1556</v>
      </c>
      <c r="B786" s="3" t="s">
        <v>729</v>
      </c>
      <c r="C786" t="s">
        <v>370</v>
      </c>
      <c r="D786" t="s">
        <v>137</v>
      </c>
      <c r="E786" t="s">
        <v>142</v>
      </c>
      <c r="F786" t="s">
        <v>19</v>
      </c>
      <c r="G786" t="s">
        <v>36</v>
      </c>
      <c r="H786" t="s">
        <v>111</v>
      </c>
      <c r="I786" s="4">
        <v>1832.1</v>
      </c>
      <c r="J786">
        <v>6</v>
      </c>
      <c r="K786" s="2">
        <v>0.1</v>
      </c>
      <c r="L786" s="4">
        <v>124.07</v>
      </c>
      <c r="M786" t="s">
        <v>107</v>
      </c>
      <c r="N786" t="s">
        <v>23</v>
      </c>
      <c r="O786">
        <f>YEAR(Table1[[#This Row],[Order Date]])</f>
        <v>2025</v>
      </c>
      <c r="P786" t="str">
        <f>TEXT(Table1[[#This Row],[Order Date]],"mmmm")</f>
        <v>January</v>
      </c>
      <c r="Q786" t="str">
        <f>TEXT(Table1[[#This Row],[Order Date]],"mm")</f>
        <v>01</v>
      </c>
      <c r="R786" s="2">
        <f>Table1[[#This Row],[Profit]]/Table1[[#This Row],[Sales]]</f>
        <v>6.7720102614486105E-2</v>
      </c>
      <c r="S786" t="str">
        <f t="shared" si="12"/>
        <v>Low (1-10%)</v>
      </c>
    </row>
    <row r="787" spans="1:19" x14ac:dyDescent="0.2">
      <c r="A787" t="s">
        <v>1557</v>
      </c>
      <c r="B787" s="3" t="s">
        <v>1558</v>
      </c>
      <c r="C787" t="s">
        <v>268</v>
      </c>
      <c r="D787" t="s">
        <v>27</v>
      </c>
      <c r="E787" t="s">
        <v>124</v>
      </c>
      <c r="F787" t="s">
        <v>55</v>
      </c>
      <c r="G787" t="s">
        <v>74</v>
      </c>
      <c r="H787" t="s">
        <v>133</v>
      </c>
      <c r="I787" s="4">
        <v>555.87</v>
      </c>
      <c r="J787">
        <v>7</v>
      </c>
      <c r="K787" s="2">
        <v>0.1</v>
      </c>
      <c r="L787" s="4">
        <v>82.57</v>
      </c>
      <c r="M787" t="s">
        <v>143</v>
      </c>
      <c r="N787" t="s">
        <v>39</v>
      </c>
      <c r="O787">
        <f>YEAR(Table1[[#This Row],[Order Date]])</f>
        <v>2024</v>
      </c>
      <c r="P787" t="str">
        <f>TEXT(Table1[[#This Row],[Order Date]],"mmmm")</f>
        <v>July</v>
      </c>
      <c r="Q787" t="str">
        <f>TEXT(Table1[[#This Row],[Order Date]],"mm")</f>
        <v>07</v>
      </c>
      <c r="R787" s="2">
        <f>Table1[[#This Row],[Profit]]/Table1[[#This Row],[Sales]]</f>
        <v>0.148541925270297</v>
      </c>
      <c r="S787" t="str">
        <f t="shared" si="12"/>
        <v>Low (1-10%)</v>
      </c>
    </row>
    <row r="788" spans="1:19" x14ac:dyDescent="0.2">
      <c r="A788" t="s">
        <v>1559</v>
      </c>
      <c r="B788" s="3" t="s">
        <v>674</v>
      </c>
      <c r="C788" t="s">
        <v>771</v>
      </c>
      <c r="D788" t="s">
        <v>137</v>
      </c>
      <c r="E788" t="s">
        <v>160</v>
      </c>
      <c r="F788" t="s">
        <v>19</v>
      </c>
      <c r="G788" t="s">
        <v>29</v>
      </c>
      <c r="H788" t="s">
        <v>199</v>
      </c>
      <c r="I788" s="4">
        <v>1946.35</v>
      </c>
      <c r="J788">
        <v>7</v>
      </c>
      <c r="K788" s="2">
        <v>0.05</v>
      </c>
      <c r="L788" s="4">
        <v>615.96</v>
      </c>
      <c r="M788" t="s">
        <v>44</v>
      </c>
      <c r="N788" t="s">
        <v>39</v>
      </c>
      <c r="O788">
        <f>YEAR(Table1[[#This Row],[Order Date]])</f>
        <v>2025</v>
      </c>
      <c r="P788" t="str">
        <f>TEXT(Table1[[#This Row],[Order Date]],"mmmm")</f>
        <v>May</v>
      </c>
      <c r="Q788" t="str">
        <f>TEXT(Table1[[#This Row],[Order Date]],"mm")</f>
        <v>05</v>
      </c>
      <c r="R788" s="2">
        <f>Table1[[#This Row],[Profit]]/Table1[[#This Row],[Sales]]</f>
        <v>0.31646928866853347</v>
      </c>
      <c r="S788" t="str">
        <f t="shared" si="12"/>
        <v>Low (1-10%)</v>
      </c>
    </row>
    <row r="789" spans="1:19" x14ac:dyDescent="0.2">
      <c r="A789" t="s">
        <v>1560</v>
      </c>
      <c r="B789" s="3" t="s">
        <v>188</v>
      </c>
      <c r="C789" t="s">
        <v>535</v>
      </c>
      <c r="D789" t="s">
        <v>48</v>
      </c>
      <c r="E789" t="s">
        <v>73</v>
      </c>
      <c r="F789" t="s">
        <v>55</v>
      </c>
      <c r="G789" t="s">
        <v>74</v>
      </c>
      <c r="H789" t="s">
        <v>75</v>
      </c>
      <c r="I789" s="4">
        <v>4632.72</v>
      </c>
      <c r="J789">
        <v>4</v>
      </c>
      <c r="K789" s="2">
        <v>0.05</v>
      </c>
      <c r="L789" s="4">
        <v>1303.4100000000001</v>
      </c>
      <c r="M789" t="s">
        <v>22</v>
      </c>
      <c r="N789" t="s">
        <v>23</v>
      </c>
      <c r="O789">
        <f>YEAR(Table1[[#This Row],[Order Date]])</f>
        <v>2025</v>
      </c>
      <c r="P789" t="str">
        <f>TEXT(Table1[[#This Row],[Order Date]],"mmmm")</f>
        <v>June</v>
      </c>
      <c r="Q789" t="str">
        <f>TEXT(Table1[[#This Row],[Order Date]],"mm")</f>
        <v>06</v>
      </c>
      <c r="R789" s="2">
        <f>Table1[[#This Row],[Profit]]/Table1[[#This Row],[Sales]]</f>
        <v>0.28134875407967674</v>
      </c>
      <c r="S789" t="str">
        <f t="shared" si="12"/>
        <v>Low (1-10%)</v>
      </c>
    </row>
    <row r="790" spans="1:19" x14ac:dyDescent="0.2">
      <c r="A790" t="s">
        <v>1561</v>
      </c>
      <c r="B790" s="3" t="s">
        <v>1562</v>
      </c>
      <c r="C790" t="s">
        <v>749</v>
      </c>
      <c r="D790" t="s">
        <v>137</v>
      </c>
      <c r="E790" t="s">
        <v>242</v>
      </c>
      <c r="F790" t="s">
        <v>67</v>
      </c>
      <c r="G790" t="s">
        <v>115</v>
      </c>
      <c r="H790" t="s">
        <v>178</v>
      </c>
      <c r="I790" s="4">
        <v>6259.47</v>
      </c>
      <c r="J790">
        <v>7</v>
      </c>
      <c r="K790" s="2">
        <v>0.1</v>
      </c>
      <c r="L790" s="4">
        <v>497.16</v>
      </c>
      <c r="M790" t="s">
        <v>22</v>
      </c>
      <c r="N790" t="s">
        <v>23</v>
      </c>
      <c r="O790">
        <f>YEAR(Table1[[#This Row],[Order Date]])</f>
        <v>2024</v>
      </c>
      <c r="P790" t="str">
        <f>TEXT(Table1[[#This Row],[Order Date]],"mmmm")</f>
        <v>March</v>
      </c>
      <c r="Q790" t="str">
        <f>TEXT(Table1[[#This Row],[Order Date]],"mm")</f>
        <v>03</v>
      </c>
      <c r="R790" s="2">
        <f>Table1[[#This Row],[Profit]]/Table1[[#This Row],[Sales]]</f>
        <v>7.9425254853845453E-2</v>
      </c>
      <c r="S790" t="str">
        <f t="shared" si="12"/>
        <v>Low (1-10%)</v>
      </c>
    </row>
    <row r="791" spans="1:19" x14ac:dyDescent="0.2">
      <c r="A791" t="s">
        <v>1563</v>
      </c>
      <c r="B791" s="3" t="s">
        <v>692</v>
      </c>
      <c r="C791" t="s">
        <v>666</v>
      </c>
      <c r="D791" t="s">
        <v>17</v>
      </c>
      <c r="E791" t="s">
        <v>80</v>
      </c>
      <c r="F791" t="s">
        <v>19</v>
      </c>
      <c r="G791" t="s">
        <v>29</v>
      </c>
      <c r="H791" t="s">
        <v>30</v>
      </c>
      <c r="I791" s="4">
        <v>7803.27</v>
      </c>
      <c r="J791">
        <v>9</v>
      </c>
      <c r="K791" s="2">
        <v>0.3</v>
      </c>
      <c r="L791" s="4">
        <v>112.32</v>
      </c>
      <c r="M791" t="s">
        <v>107</v>
      </c>
      <c r="N791" t="s">
        <v>23</v>
      </c>
      <c r="O791">
        <f>YEAR(Table1[[#This Row],[Order Date]])</f>
        <v>2025</v>
      </c>
      <c r="P791" t="str">
        <f>TEXT(Table1[[#This Row],[Order Date]],"mmmm")</f>
        <v>June</v>
      </c>
      <c r="Q791" t="str">
        <f>TEXT(Table1[[#This Row],[Order Date]],"mm")</f>
        <v>06</v>
      </c>
      <c r="R791" s="2">
        <f>Table1[[#This Row],[Profit]]/Table1[[#This Row],[Sales]]</f>
        <v>1.4393965606726409E-2</v>
      </c>
      <c r="S791" t="str">
        <f t="shared" si="12"/>
        <v>High (21-30%)</v>
      </c>
    </row>
    <row r="792" spans="1:19" x14ac:dyDescent="0.2">
      <c r="A792" t="s">
        <v>1564</v>
      </c>
      <c r="B792" s="3" t="s">
        <v>929</v>
      </c>
      <c r="C792" t="s">
        <v>367</v>
      </c>
      <c r="D792" t="s">
        <v>137</v>
      </c>
      <c r="E792" t="s">
        <v>242</v>
      </c>
      <c r="F792" t="s">
        <v>19</v>
      </c>
      <c r="G792" t="s">
        <v>29</v>
      </c>
      <c r="H792" t="s">
        <v>50</v>
      </c>
      <c r="I792" s="4">
        <v>646.82000000000005</v>
      </c>
      <c r="J792">
        <v>1</v>
      </c>
      <c r="K792" s="2">
        <v>0.05</v>
      </c>
      <c r="L792" s="4">
        <v>179.41</v>
      </c>
      <c r="M792" t="s">
        <v>44</v>
      </c>
      <c r="N792" t="s">
        <v>23</v>
      </c>
      <c r="O792">
        <f>YEAR(Table1[[#This Row],[Order Date]])</f>
        <v>2024</v>
      </c>
      <c r="P792" t="str">
        <f>TEXT(Table1[[#This Row],[Order Date]],"mmmm")</f>
        <v>December</v>
      </c>
      <c r="Q792" t="str">
        <f>TEXT(Table1[[#This Row],[Order Date]],"mm")</f>
        <v>12</v>
      </c>
      <c r="R792" s="2">
        <f>Table1[[#This Row],[Profit]]/Table1[[#This Row],[Sales]]</f>
        <v>0.27737237562227512</v>
      </c>
      <c r="S792" t="str">
        <f t="shared" si="12"/>
        <v>Low (1-10%)</v>
      </c>
    </row>
    <row r="793" spans="1:19" x14ac:dyDescent="0.2">
      <c r="A793" t="s">
        <v>1565</v>
      </c>
      <c r="B793" s="3" t="s">
        <v>321</v>
      </c>
      <c r="C793" t="s">
        <v>215</v>
      </c>
      <c r="D793" t="s">
        <v>17</v>
      </c>
      <c r="E793" t="s">
        <v>18</v>
      </c>
      <c r="F793" t="s">
        <v>19</v>
      </c>
      <c r="G793" t="s">
        <v>36</v>
      </c>
      <c r="H793" t="s">
        <v>111</v>
      </c>
      <c r="I793" s="4">
        <v>7772.8</v>
      </c>
      <c r="J793">
        <v>8</v>
      </c>
      <c r="K793" s="2">
        <v>0.15</v>
      </c>
      <c r="L793" s="4">
        <v>1242.98</v>
      </c>
      <c r="M793" t="s">
        <v>44</v>
      </c>
      <c r="N793" t="s">
        <v>76</v>
      </c>
      <c r="O793">
        <f>YEAR(Table1[[#This Row],[Order Date]])</f>
        <v>2024</v>
      </c>
      <c r="P793" t="str">
        <f>TEXT(Table1[[#This Row],[Order Date]],"mmmm")</f>
        <v>August</v>
      </c>
      <c r="Q793" t="str">
        <f>TEXT(Table1[[#This Row],[Order Date]],"mm")</f>
        <v>08</v>
      </c>
      <c r="R793" s="2">
        <f>Table1[[#This Row],[Profit]]/Table1[[#This Row],[Sales]]</f>
        <v>0.15991405928365582</v>
      </c>
      <c r="S793" t="str">
        <f t="shared" si="12"/>
        <v>Medium (11-20%)</v>
      </c>
    </row>
    <row r="794" spans="1:19" x14ac:dyDescent="0.2">
      <c r="A794" t="s">
        <v>1566</v>
      </c>
      <c r="B794" s="3" t="s">
        <v>916</v>
      </c>
      <c r="C794" t="s">
        <v>1433</v>
      </c>
      <c r="D794" t="s">
        <v>27</v>
      </c>
      <c r="E794" t="s">
        <v>43</v>
      </c>
      <c r="F794" t="s">
        <v>19</v>
      </c>
      <c r="G794" t="s">
        <v>20</v>
      </c>
      <c r="H794" t="s">
        <v>347</v>
      </c>
      <c r="I794" s="4">
        <v>1366.24</v>
      </c>
      <c r="J794">
        <v>4</v>
      </c>
      <c r="K794" s="2">
        <v>0.3</v>
      </c>
      <c r="L794" s="4">
        <v>-25.27</v>
      </c>
      <c r="M794" t="s">
        <v>31</v>
      </c>
      <c r="N794" t="s">
        <v>23</v>
      </c>
      <c r="O794">
        <f>YEAR(Table1[[#This Row],[Order Date]])</f>
        <v>2025</v>
      </c>
      <c r="P794" t="str">
        <f>TEXT(Table1[[#This Row],[Order Date]],"mmmm")</f>
        <v>April</v>
      </c>
      <c r="Q794" t="str">
        <f>TEXT(Table1[[#This Row],[Order Date]],"mm")</f>
        <v>04</v>
      </c>
      <c r="R794" s="2">
        <f>Table1[[#This Row],[Profit]]/Table1[[#This Row],[Sales]]</f>
        <v>-1.8496018269118165E-2</v>
      </c>
      <c r="S794" t="str">
        <f t="shared" si="12"/>
        <v>High (21-30%)</v>
      </c>
    </row>
    <row r="795" spans="1:19" x14ac:dyDescent="0.2">
      <c r="A795" t="s">
        <v>1567</v>
      </c>
      <c r="B795" s="3" t="s">
        <v>1568</v>
      </c>
      <c r="C795" t="s">
        <v>959</v>
      </c>
      <c r="D795" t="s">
        <v>48</v>
      </c>
      <c r="E795" t="s">
        <v>73</v>
      </c>
      <c r="F795" t="s">
        <v>19</v>
      </c>
      <c r="G795" t="s">
        <v>36</v>
      </c>
      <c r="H795" t="s">
        <v>37</v>
      </c>
      <c r="I795" s="4">
        <v>3804.56</v>
      </c>
      <c r="J795">
        <v>4</v>
      </c>
      <c r="K795" s="2">
        <v>0.3</v>
      </c>
      <c r="L795" s="4">
        <v>-502.12</v>
      </c>
      <c r="M795" t="s">
        <v>143</v>
      </c>
      <c r="N795" t="s">
        <v>23</v>
      </c>
      <c r="O795">
        <f>YEAR(Table1[[#This Row],[Order Date]])</f>
        <v>2024</v>
      </c>
      <c r="P795" t="str">
        <f>TEXT(Table1[[#This Row],[Order Date]],"mmmm")</f>
        <v>February</v>
      </c>
      <c r="Q795" t="str">
        <f>TEXT(Table1[[#This Row],[Order Date]],"mm")</f>
        <v>02</v>
      </c>
      <c r="R795" s="2">
        <f>Table1[[#This Row],[Profit]]/Table1[[#This Row],[Sales]]</f>
        <v>-0.13197846794373069</v>
      </c>
      <c r="S795" t="str">
        <f t="shared" si="12"/>
        <v>High (21-30%)</v>
      </c>
    </row>
    <row r="796" spans="1:19" x14ac:dyDescent="0.2">
      <c r="A796" t="s">
        <v>1569</v>
      </c>
      <c r="B796" s="3" t="s">
        <v>180</v>
      </c>
      <c r="C796" t="s">
        <v>1010</v>
      </c>
      <c r="D796" t="s">
        <v>137</v>
      </c>
      <c r="E796" t="s">
        <v>138</v>
      </c>
      <c r="F796" t="s">
        <v>55</v>
      </c>
      <c r="G796" t="s">
        <v>56</v>
      </c>
      <c r="H796" t="s">
        <v>62</v>
      </c>
      <c r="I796" s="4">
        <v>776.83</v>
      </c>
      <c r="J796">
        <v>1</v>
      </c>
      <c r="K796" s="2">
        <v>0.05</v>
      </c>
      <c r="L796" s="4">
        <v>46.58</v>
      </c>
      <c r="M796" t="s">
        <v>31</v>
      </c>
      <c r="N796" t="s">
        <v>76</v>
      </c>
      <c r="O796">
        <f>YEAR(Table1[[#This Row],[Order Date]])</f>
        <v>2024</v>
      </c>
      <c r="P796" t="str">
        <f>TEXT(Table1[[#This Row],[Order Date]],"mmmm")</f>
        <v>July</v>
      </c>
      <c r="Q796" t="str">
        <f>TEXT(Table1[[#This Row],[Order Date]],"mm")</f>
        <v>07</v>
      </c>
      <c r="R796" s="2">
        <f>Table1[[#This Row],[Profit]]/Table1[[#This Row],[Sales]]</f>
        <v>5.9961638968628911E-2</v>
      </c>
      <c r="S796" t="str">
        <f t="shared" si="12"/>
        <v>Low (1-10%)</v>
      </c>
    </row>
    <row r="797" spans="1:19" x14ac:dyDescent="0.2">
      <c r="A797" t="s">
        <v>1570</v>
      </c>
      <c r="B797" s="3" t="s">
        <v>1571</v>
      </c>
      <c r="C797" t="s">
        <v>601</v>
      </c>
      <c r="D797" t="s">
        <v>48</v>
      </c>
      <c r="E797" t="s">
        <v>110</v>
      </c>
      <c r="F797" t="s">
        <v>55</v>
      </c>
      <c r="G797" t="s">
        <v>74</v>
      </c>
      <c r="H797" t="s">
        <v>272</v>
      </c>
      <c r="I797" s="4">
        <v>740.64</v>
      </c>
      <c r="J797">
        <v>1</v>
      </c>
      <c r="K797" s="2">
        <v>0.3</v>
      </c>
      <c r="L797" s="4">
        <v>0.59</v>
      </c>
      <c r="M797" t="s">
        <v>195</v>
      </c>
      <c r="N797" t="s">
        <v>76</v>
      </c>
      <c r="O797">
        <f>YEAR(Table1[[#This Row],[Order Date]])</f>
        <v>2024</v>
      </c>
      <c r="P797" t="str">
        <f>TEXT(Table1[[#This Row],[Order Date]],"mmmm")</f>
        <v>June</v>
      </c>
      <c r="Q797" t="str">
        <f>TEXT(Table1[[#This Row],[Order Date]],"mm")</f>
        <v>06</v>
      </c>
      <c r="R797" s="2">
        <f>Table1[[#This Row],[Profit]]/Table1[[#This Row],[Sales]]</f>
        <v>7.9660833873406779E-4</v>
      </c>
      <c r="S797" t="str">
        <f t="shared" si="12"/>
        <v>High (21-30%)</v>
      </c>
    </row>
    <row r="798" spans="1:19" x14ac:dyDescent="0.2">
      <c r="A798" t="s">
        <v>1572</v>
      </c>
      <c r="B798" s="3" t="s">
        <v>592</v>
      </c>
      <c r="C798" t="s">
        <v>327</v>
      </c>
      <c r="D798" t="s">
        <v>48</v>
      </c>
      <c r="E798" t="s">
        <v>49</v>
      </c>
      <c r="F798" t="s">
        <v>67</v>
      </c>
      <c r="G798" t="s">
        <v>85</v>
      </c>
      <c r="H798" t="s">
        <v>253</v>
      </c>
      <c r="I798" s="4">
        <v>5440.4</v>
      </c>
      <c r="J798">
        <v>5</v>
      </c>
      <c r="K798" s="2">
        <v>0.15</v>
      </c>
      <c r="L798" s="4">
        <v>1530.52</v>
      </c>
      <c r="M798" t="s">
        <v>38</v>
      </c>
      <c r="N798" t="s">
        <v>23</v>
      </c>
      <c r="O798">
        <f>YEAR(Table1[[#This Row],[Order Date]])</f>
        <v>2024</v>
      </c>
      <c r="P798" t="str">
        <f>TEXT(Table1[[#This Row],[Order Date]],"mmmm")</f>
        <v>August</v>
      </c>
      <c r="Q798" t="str">
        <f>TEXT(Table1[[#This Row],[Order Date]],"mm")</f>
        <v>08</v>
      </c>
      <c r="R798" s="2">
        <f>Table1[[#This Row],[Profit]]/Table1[[#This Row],[Sales]]</f>
        <v>0.28132490258069259</v>
      </c>
      <c r="S798" t="str">
        <f t="shared" si="12"/>
        <v>Medium (11-20%)</v>
      </c>
    </row>
    <row r="799" spans="1:19" x14ac:dyDescent="0.2">
      <c r="A799" t="s">
        <v>1573</v>
      </c>
      <c r="B799" s="3" t="s">
        <v>360</v>
      </c>
      <c r="C799" t="s">
        <v>618</v>
      </c>
      <c r="D799" t="s">
        <v>27</v>
      </c>
      <c r="E799" t="s">
        <v>124</v>
      </c>
      <c r="F799" t="s">
        <v>55</v>
      </c>
      <c r="G799" t="s">
        <v>56</v>
      </c>
      <c r="H799" t="s">
        <v>129</v>
      </c>
      <c r="I799" s="4">
        <v>2208.3000000000002</v>
      </c>
      <c r="J799">
        <v>5</v>
      </c>
      <c r="K799" s="2">
        <v>0</v>
      </c>
      <c r="L799" s="4">
        <v>564.17999999999995</v>
      </c>
      <c r="M799" t="s">
        <v>87</v>
      </c>
      <c r="N799" t="s">
        <v>23</v>
      </c>
      <c r="O799">
        <f>YEAR(Table1[[#This Row],[Order Date]])</f>
        <v>2025</v>
      </c>
      <c r="P799" t="str">
        <f>TEXT(Table1[[#This Row],[Order Date]],"mmmm")</f>
        <v>July</v>
      </c>
      <c r="Q799" t="str">
        <f>TEXT(Table1[[#This Row],[Order Date]],"mm")</f>
        <v>07</v>
      </c>
      <c r="R799" s="2">
        <f>Table1[[#This Row],[Profit]]/Table1[[#This Row],[Sales]]</f>
        <v>0.25548159217497618</v>
      </c>
      <c r="S799" t="str">
        <f t="shared" si="12"/>
        <v>No Discount</v>
      </c>
    </row>
    <row r="800" spans="1:19" x14ac:dyDescent="0.2">
      <c r="A800" t="s">
        <v>1574</v>
      </c>
      <c r="B800" s="3" t="s">
        <v>1307</v>
      </c>
      <c r="C800" t="s">
        <v>302</v>
      </c>
      <c r="D800" t="s">
        <v>48</v>
      </c>
      <c r="E800" t="s">
        <v>73</v>
      </c>
      <c r="F800" t="s">
        <v>67</v>
      </c>
      <c r="G800" t="s">
        <v>85</v>
      </c>
      <c r="H800" t="s">
        <v>86</v>
      </c>
      <c r="I800" s="4">
        <v>1682.62</v>
      </c>
      <c r="J800">
        <v>2</v>
      </c>
      <c r="K800" s="2">
        <v>0.15</v>
      </c>
      <c r="L800" s="4">
        <v>409.59</v>
      </c>
      <c r="M800" t="s">
        <v>195</v>
      </c>
      <c r="N800" t="s">
        <v>76</v>
      </c>
      <c r="O800">
        <f>YEAR(Table1[[#This Row],[Order Date]])</f>
        <v>2024</v>
      </c>
      <c r="P800" t="str">
        <f>TEXT(Table1[[#This Row],[Order Date]],"mmmm")</f>
        <v>January</v>
      </c>
      <c r="Q800" t="str">
        <f>TEXT(Table1[[#This Row],[Order Date]],"mm")</f>
        <v>01</v>
      </c>
      <c r="R800" s="2">
        <f>Table1[[#This Row],[Profit]]/Table1[[#This Row],[Sales]]</f>
        <v>0.24342394598899336</v>
      </c>
      <c r="S800" t="str">
        <f t="shared" si="12"/>
        <v>Medium (11-20%)</v>
      </c>
    </row>
    <row r="801" spans="1:19" x14ac:dyDescent="0.2">
      <c r="A801" t="s">
        <v>1575</v>
      </c>
      <c r="B801" s="3" t="s">
        <v>624</v>
      </c>
      <c r="C801" t="s">
        <v>818</v>
      </c>
      <c r="D801" t="s">
        <v>48</v>
      </c>
      <c r="E801" t="s">
        <v>110</v>
      </c>
      <c r="F801" t="s">
        <v>19</v>
      </c>
      <c r="G801" t="s">
        <v>20</v>
      </c>
      <c r="H801" t="s">
        <v>239</v>
      </c>
      <c r="I801" s="4">
        <v>8234.1</v>
      </c>
      <c r="J801">
        <v>7</v>
      </c>
      <c r="K801" s="2">
        <v>0.05</v>
      </c>
      <c r="L801" s="4">
        <v>1807.83</v>
      </c>
      <c r="M801" t="s">
        <v>38</v>
      </c>
      <c r="N801" t="s">
        <v>76</v>
      </c>
      <c r="O801">
        <f>YEAR(Table1[[#This Row],[Order Date]])</f>
        <v>2024</v>
      </c>
      <c r="P801" t="str">
        <f>TEXT(Table1[[#This Row],[Order Date]],"mmmm")</f>
        <v>August</v>
      </c>
      <c r="Q801" t="str">
        <f>TEXT(Table1[[#This Row],[Order Date]],"mm")</f>
        <v>08</v>
      </c>
      <c r="R801" s="2">
        <f>Table1[[#This Row],[Profit]]/Table1[[#This Row],[Sales]]</f>
        <v>0.21955404962290959</v>
      </c>
      <c r="S801" t="str">
        <f t="shared" si="12"/>
        <v>Low (1-10%)</v>
      </c>
    </row>
    <row r="802" spans="1:19" x14ac:dyDescent="0.2">
      <c r="A802" t="s">
        <v>1576</v>
      </c>
      <c r="B802" s="3" t="s">
        <v>1577</v>
      </c>
      <c r="C802" t="s">
        <v>35</v>
      </c>
      <c r="D802" t="s">
        <v>27</v>
      </c>
      <c r="E802" t="s">
        <v>61</v>
      </c>
      <c r="F802" t="s">
        <v>19</v>
      </c>
      <c r="G802" t="s">
        <v>36</v>
      </c>
      <c r="H802" t="s">
        <v>37</v>
      </c>
      <c r="I802" s="4">
        <v>5416.8</v>
      </c>
      <c r="J802">
        <v>8</v>
      </c>
      <c r="K802" s="2">
        <v>0.05</v>
      </c>
      <c r="L802" s="4">
        <v>929.21</v>
      </c>
      <c r="M802" t="s">
        <v>31</v>
      </c>
      <c r="N802" t="s">
        <v>76</v>
      </c>
      <c r="O802">
        <f>YEAR(Table1[[#This Row],[Order Date]])</f>
        <v>2024</v>
      </c>
      <c r="P802" t="str">
        <f>TEXT(Table1[[#This Row],[Order Date]],"mmmm")</f>
        <v>September</v>
      </c>
      <c r="Q802" t="str">
        <f>TEXT(Table1[[#This Row],[Order Date]],"mm")</f>
        <v>09</v>
      </c>
      <c r="R802" s="2">
        <f>Table1[[#This Row],[Profit]]/Table1[[#This Row],[Sales]]</f>
        <v>0.17154223896027174</v>
      </c>
      <c r="S802" t="str">
        <f t="shared" si="12"/>
        <v>Low (1-10%)</v>
      </c>
    </row>
    <row r="803" spans="1:19" x14ac:dyDescent="0.2">
      <c r="A803" t="s">
        <v>1578</v>
      </c>
      <c r="B803" s="3" t="s">
        <v>299</v>
      </c>
      <c r="C803" t="s">
        <v>646</v>
      </c>
      <c r="D803" t="s">
        <v>137</v>
      </c>
      <c r="E803" t="s">
        <v>142</v>
      </c>
      <c r="F803" t="s">
        <v>19</v>
      </c>
      <c r="G803" t="s">
        <v>20</v>
      </c>
      <c r="H803" t="s">
        <v>239</v>
      </c>
      <c r="I803" s="4">
        <v>223.46</v>
      </c>
      <c r="J803">
        <v>2</v>
      </c>
      <c r="K803" s="2">
        <v>0.15</v>
      </c>
      <c r="L803" s="4">
        <v>-15.47</v>
      </c>
      <c r="M803" t="s">
        <v>44</v>
      </c>
      <c r="N803" t="s">
        <v>76</v>
      </c>
      <c r="O803">
        <f>YEAR(Table1[[#This Row],[Order Date]])</f>
        <v>2024</v>
      </c>
      <c r="P803" t="str">
        <f>TEXT(Table1[[#This Row],[Order Date]],"mmmm")</f>
        <v>April</v>
      </c>
      <c r="Q803" t="str">
        <f>TEXT(Table1[[#This Row],[Order Date]],"mm")</f>
        <v>04</v>
      </c>
      <c r="R803" s="2">
        <f>Table1[[#This Row],[Profit]]/Table1[[#This Row],[Sales]]</f>
        <v>-6.9229392284972699E-2</v>
      </c>
      <c r="S803" t="str">
        <f t="shared" si="12"/>
        <v>Medium (11-20%)</v>
      </c>
    </row>
    <row r="804" spans="1:19" x14ac:dyDescent="0.2">
      <c r="A804" t="s">
        <v>1579</v>
      </c>
      <c r="B804" s="3" t="s">
        <v>558</v>
      </c>
      <c r="C804" t="s">
        <v>225</v>
      </c>
      <c r="D804" t="s">
        <v>137</v>
      </c>
      <c r="E804" t="s">
        <v>138</v>
      </c>
      <c r="F804" t="s">
        <v>67</v>
      </c>
      <c r="G804" t="s">
        <v>85</v>
      </c>
      <c r="H804" t="s">
        <v>86</v>
      </c>
      <c r="I804" s="4">
        <v>5165.8500000000004</v>
      </c>
      <c r="J804">
        <v>5</v>
      </c>
      <c r="K804" s="2">
        <v>0.05</v>
      </c>
      <c r="L804" s="4">
        <v>1288.3499999999999</v>
      </c>
      <c r="M804" t="s">
        <v>107</v>
      </c>
      <c r="N804" t="s">
        <v>23</v>
      </c>
      <c r="O804">
        <f>YEAR(Table1[[#This Row],[Order Date]])</f>
        <v>2025</v>
      </c>
      <c r="P804" t="str">
        <f>TEXT(Table1[[#This Row],[Order Date]],"mmmm")</f>
        <v>March</v>
      </c>
      <c r="Q804" t="str">
        <f>TEXT(Table1[[#This Row],[Order Date]],"mm")</f>
        <v>03</v>
      </c>
      <c r="R804" s="2">
        <f>Table1[[#This Row],[Profit]]/Table1[[#This Row],[Sales]]</f>
        <v>0.24939748540898396</v>
      </c>
      <c r="S804" t="str">
        <f t="shared" si="12"/>
        <v>Low (1-10%)</v>
      </c>
    </row>
    <row r="805" spans="1:19" x14ac:dyDescent="0.2">
      <c r="A805" t="s">
        <v>1580</v>
      </c>
      <c r="B805" s="3" t="s">
        <v>1581</v>
      </c>
      <c r="C805" t="s">
        <v>646</v>
      </c>
      <c r="D805" t="s">
        <v>17</v>
      </c>
      <c r="E805" t="s">
        <v>80</v>
      </c>
      <c r="F805" t="s">
        <v>19</v>
      </c>
      <c r="G805" t="s">
        <v>29</v>
      </c>
      <c r="H805" t="s">
        <v>30</v>
      </c>
      <c r="I805" s="4">
        <v>122.64</v>
      </c>
      <c r="J805">
        <v>6</v>
      </c>
      <c r="K805" s="2">
        <v>0.3</v>
      </c>
      <c r="L805" s="4">
        <v>14.81</v>
      </c>
      <c r="M805" t="s">
        <v>63</v>
      </c>
      <c r="N805" t="s">
        <v>76</v>
      </c>
      <c r="O805">
        <f>YEAR(Table1[[#This Row],[Order Date]])</f>
        <v>2025</v>
      </c>
      <c r="P805" t="str">
        <f>TEXT(Table1[[#This Row],[Order Date]],"mmmm")</f>
        <v>August</v>
      </c>
      <c r="Q805" t="str">
        <f>TEXT(Table1[[#This Row],[Order Date]],"mm")</f>
        <v>08</v>
      </c>
      <c r="R805" s="2">
        <f>Table1[[#This Row],[Profit]]/Table1[[#This Row],[Sales]]</f>
        <v>0.12075994781474234</v>
      </c>
      <c r="S805" t="str">
        <f t="shared" si="12"/>
        <v>High (21-30%)</v>
      </c>
    </row>
    <row r="806" spans="1:19" x14ac:dyDescent="0.2">
      <c r="A806" t="s">
        <v>1582</v>
      </c>
      <c r="B806" s="3" t="s">
        <v>1268</v>
      </c>
      <c r="C806" t="s">
        <v>1018</v>
      </c>
      <c r="D806" t="s">
        <v>48</v>
      </c>
      <c r="E806" t="s">
        <v>73</v>
      </c>
      <c r="F806" t="s">
        <v>55</v>
      </c>
      <c r="G806" t="s">
        <v>56</v>
      </c>
      <c r="H806" t="s">
        <v>57</v>
      </c>
      <c r="I806" s="4">
        <v>109</v>
      </c>
      <c r="J806">
        <v>5</v>
      </c>
      <c r="K806" s="2">
        <v>0.25</v>
      </c>
      <c r="L806" s="4">
        <v>-5.19</v>
      </c>
      <c r="M806" t="s">
        <v>38</v>
      </c>
      <c r="N806" t="s">
        <v>39</v>
      </c>
      <c r="O806">
        <f>YEAR(Table1[[#This Row],[Order Date]])</f>
        <v>2024</v>
      </c>
      <c r="P806" t="str">
        <f>TEXT(Table1[[#This Row],[Order Date]],"mmmm")</f>
        <v>August</v>
      </c>
      <c r="Q806" t="str">
        <f>TEXT(Table1[[#This Row],[Order Date]],"mm")</f>
        <v>08</v>
      </c>
      <c r="R806" s="2">
        <f>Table1[[#This Row],[Profit]]/Table1[[#This Row],[Sales]]</f>
        <v>-4.7614678899082573E-2</v>
      </c>
      <c r="S806" t="str">
        <f t="shared" si="12"/>
        <v>High (21-30%)</v>
      </c>
    </row>
    <row r="807" spans="1:19" x14ac:dyDescent="0.2">
      <c r="A807" t="s">
        <v>1583</v>
      </c>
      <c r="B807" s="3" t="s">
        <v>629</v>
      </c>
      <c r="C807" t="s">
        <v>917</v>
      </c>
      <c r="D807" t="s">
        <v>27</v>
      </c>
      <c r="E807" t="s">
        <v>61</v>
      </c>
      <c r="F807" t="s">
        <v>67</v>
      </c>
      <c r="G807" t="s">
        <v>85</v>
      </c>
      <c r="H807" t="s">
        <v>86</v>
      </c>
      <c r="I807" s="4">
        <v>1819.24</v>
      </c>
      <c r="J807">
        <v>4</v>
      </c>
      <c r="K807" s="2">
        <v>0.3</v>
      </c>
      <c r="L807" s="4">
        <v>-377.99</v>
      </c>
      <c r="M807" t="s">
        <v>22</v>
      </c>
      <c r="N807" t="s">
        <v>76</v>
      </c>
      <c r="O807">
        <f>YEAR(Table1[[#This Row],[Order Date]])</f>
        <v>2024</v>
      </c>
      <c r="P807" t="str">
        <f>TEXT(Table1[[#This Row],[Order Date]],"mmmm")</f>
        <v>September</v>
      </c>
      <c r="Q807" t="str">
        <f>TEXT(Table1[[#This Row],[Order Date]],"mm")</f>
        <v>09</v>
      </c>
      <c r="R807" s="2">
        <f>Table1[[#This Row],[Profit]]/Table1[[#This Row],[Sales]]</f>
        <v>-0.20777357577889669</v>
      </c>
      <c r="S807" t="str">
        <f t="shared" si="12"/>
        <v>High (21-30%)</v>
      </c>
    </row>
    <row r="808" spans="1:19" x14ac:dyDescent="0.2">
      <c r="A808" t="s">
        <v>1584</v>
      </c>
      <c r="B808" s="3" t="s">
        <v>1471</v>
      </c>
      <c r="C808" t="s">
        <v>519</v>
      </c>
      <c r="D808" t="s">
        <v>48</v>
      </c>
      <c r="E808" t="s">
        <v>73</v>
      </c>
      <c r="F808" t="s">
        <v>19</v>
      </c>
      <c r="G808" t="s">
        <v>36</v>
      </c>
      <c r="H808" t="s">
        <v>37</v>
      </c>
      <c r="I808" s="4">
        <v>6440</v>
      </c>
      <c r="J808">
        <v>8</v>
      </c>
      <c r="K808" s="2">
        <v>0.1</v>
      </c>
      <c r="L808" s="4">
        <v>2028.94</v>
      </c>
      <c r="M808" t="s">
        <v>38</v>
      </c>
      <c r="N808" t="s">
        <v>39</v>
      </c>
      <c r="O808">
        <f>YEAR(Table1[[#This Row],[Order Date]])</f>
        <v>2024</v>
      </c>
      <c r="P808" t="str">
        <f>TEXT(Table1[[#This Row],[Order Date]],"mmmm")</f>
        <v>November</v>
      </c>
      <c r="Q808" t="str">
        <f>TEXT(Table1[[#This Row],[Order Date]],"mm")</f>
        <v>11</v>
      </c>
      <c r="R808" s="2">
        <f>Table1[[#This Row],[Profit]]/Table1[[#This Row],[Sales]]</f>
        <v>0.31505279503105593</v>
      </c>
      <c r="S808" t="str">
        <f t="shared" si="12"/>
        <v>Low (1-10%)</v>
      </c>
    </row>
    <row r="809" spans="1:19" x14ac:dyDescent="0.2">
      <c r="A809" t="s">
        <v>1585</v>
      </c>
      <c r="B809" s="3" t="s">
        <v>1586</v>
      </c>
      <c r="C809" t="s">
        <v>367</v>
      </c>
      <c r="D809" t="s">
        <v>27</v>
      </c>
      <c r="E809" t="s">
        <v>43</v>
      </c>
      <c r="F809" t="s">
        <v>67</v>
      </c>
      <c r="G809" t="s">
        <v>68</v>
      </c>
      <c r="H809" t="s">
        <v>69</v>
      </c>
      <c r="I809" s="4">
        <v>7017.36</v>
      </c>
      <c r="J809">
        <v>6</v>
      </c>
      <c r="K809" s="2">
        <v>0.2</v>
      </c>
      <c r="L809" s="4">
        <v>-495.04</v>
      </c>
      <c r="M809" t="s">
        <v>87</v>
      </c>
      <c r="N809" t="s">
        <v>23</v>
      </c>
      <c r="O809">
        <f>YEAR(Table1[[#This Row],[Order Date]])</f>
        <v>2024</v>
      </c>
      <c r="P809" t="str">
        <f>TEXT(Table1[[#This Row],[Order Date]],"mmmm")</f>
        <v>May</v>
      </c>
      <c r="Q809" t="str">
        <f>TEXT(Table1[[#This Row],[Order Date]],"mm")</f>
        <v>05</v>
      </c>
      <c r="R809" s="2">
        <f>Table1[[#This Row],[Profit]]/Table1[[#This Row],[Sales]]</f>
        <v>-7.0545048280264949E-2</v>
      </c>
      <c r="S809" t="str">
        <f t="shared" si="12"/>
        <v>Medium (11-20%)</v>
      </c>
    </row>
    <row r="810" spans="1:19" x14ac:dyDescent="0.2">
      <c r="A810" t="s">
        <v>1587</v>
      </c>
      <c r="B810" s="3" t="s">
        <v>1588</v>
      </c>
      <c r="C810" t="s">
        <v>421</v>
      </c>
      <c r="D810" t="s">
        <v>137</v>
      </c>
      <c r="E810" t="s">
        <v>242</v>
      </c>
      <c r="F810" t="s">
        <v>19</v>
      </c>
      <c r="G810" t="s">
        <v>20</v>
      </c>
      <c r="H810" t="s">
        <v>239</v>
      </c>
      <c r="I810" s="4">
        <v>5200.1099999999997</v>
      </c>
      <c r="J810">
        <v>9</v>
      </c>
      <c r="K810" s="2">
        <v>0</v>
      </c>
      <c r="L810" s="4">
        <v>2004.09</v>
      </c>
      <c r="M810" t="s">
        <v>117</v>
      </c>
      <c r="N810" t="s">
        <v>23</v>
      </c>
      <c r="O810">
        <f>YEAR(Table1[[#This Row],[Order Date]])</f>
        <v>2025</v>
      </c>
      <c r="P810" t="str">
        <f>TEXT(Table1[[#This Row],[Order Date]],"mmmm")</f>
        <v>October</v>
      </c>
      <c r="Q810" t="str">
        <f>TEXT(Table1[[#This Row],[Order Date]],"mm")</f>
        <v>10</v>
      </c>
      <c r="R810" s="2">
        <f>Table1[[#This Row],[Profit]]/Table1[[#This Row],[Sales]]</f>
        <v>0.38539377051639295</v>
      </c>
      <c r="S810" t="str">
        <f t="shared" si="12"/>
        <v>No Discount</v>
      </c>
    </row>
    <row r="811" spans="1:19" x14ac:dyDescent="0.2">
      <c r="A811" t="s">
        <v>1589</v>
      </c>
      <c r="B811" s="3" t="s">
        <v>65</v>
      </c>
      <c r="C811" t="s">
        <v>450</v>
      </c>
      <c r="D811" t="s">
        <v>27</v>
      </c>
      <c r="E811" t="s">
        <v>28</v>
      </c>
      <c r="F811" t="s">
        <v>67</v>
      </c>
      <c r="G811" t="s">
        <v>115</v>
      </c>
      <c r="H811" t="s">
        <v>212</v>
      </c>
      <c r="I811" s="4">
        <v>4239.76</v>
      </c>
      <c r="J811">
        <v>4</v>
      </c>
      <c r="K811" s="2">
        <v>0.15</v>
      </c>
      <c r="L811" s="4">
        <v>592.13</v>
      </c>
      <c r="M811" t="s">
        <v>31</v>
      </c>
      <c r="N811" t="s">
        <v>76</v>
      </c>
      <c r="O811">
        <f>YEAR(Table1[[#This Row],[Order Date]])</f>
        <v>2025</v>
      </c>
      <c r="P811" t="str">
        <f>TEXT(Table1[[#This Row],[Order Date]],"mmmm")</f>
        <v>September</v>
      </c>
      <c r="Q811" t="str">
        <f>TEXT(Table1[[#This Row],[Order Date]],"mm")</f>
        <v>09</v>
      </c>
      <c r="R811" s="2">
        <f>Table1[[#This Row],[Profit]]/Table1[[#This Row],[Sales]]</f>
        <v>0.13966120723814554</v>
      </c>
      <c r="S811" t="str">
        <f t="shared" si="12"/>
        <v>Medium (11-20%)</v>
      </c>
    </row>
    <row r="812" spans="1:19" x14ac:dyDescent="0.2">
      <c r="A812" t="s">
        <v>1590</v>
      </c>
      <c r="B812" s="3" t="s">
        <v>1186</v>
      </c>
      <c r="C812" t="s">
        <v>460</v>
      </c>
      <c r="D812" t="s">
        <v>48</v>
      </c>
      <c r="E812" t="s">
        <v>49</v>
      </c>
      <c r="F812" t="s">
        <v>55</v>
      </c>
      <c r="G812" t="s">
        <v>98</v>
      </c>
      <c r="H812" t="s">
        <v>154</v>
      </c>
      <c r="I812" s="4">
        <v>4090.86</v>
      </c>
      <c r="J812">
        <v>9</v>
      </c>
      <c r="K812" s="2">
        <v>0.25</v>
      </c>
      <c r="L812" s="4">
        <v>460.42</v>
      </c>
      <c r="M812" t="s">
        <v>87</v>
      </c>
      <c r="N812" t="s">
        <v>32</v>
      </c>
      <c r="O812">
        <f>YEAR(Table1[[#This Row],[Order Date]])</f>
        <v>2025</v>
      </c>
      <c r="P812" t="str">
        <f>TEXT(Table1[[#This Row],[Order Date]],"mmmm")</f>
        <v>June</v>
      </c>
      <c r="Q812" t="str">
        <f>TEXT(Table1[[#This Row],[Order Date]],"mm")</f>
        <v>06</v>
      </c>
      <c r="R812" s="2">
        <f>Table1[[#This Row],[Profit]]/Table1[[#This Row],[Sales]]</f>
        <v>0.11254846169265142</v>
      </c>
      <c r="S812" t="str">
        <f t="shared" si="12"/>
        <v>High (21-30%)</v>
      </c>
    </row>
    <row r="813" spans="1:19" x14ac:dyDescent="0.2">
      <c r="A813" t="s">
        <v>1591</v>
      </c>
      <c r="B813" s="3" t="s">
        <v>204</v>
      </c>
      <c r="C813" t="s">
        <v>327</v>
      </c>
      <c r="D813" t="s">
        <v>48</v>
      </c>
      <c r="E813" t="s">
        <v>84</v>
      </c>
      <c r="F813" t="s">
        <v>55</v>
      </c>
      <c r="G813" t="s">
        <v>74</v>
      </c>
      <c r="H813" t="s">
        <v>75</v>
      </c>
      <c r="I813" s="4">
        <v>4836.16</v>
      </c>
      <c r="J813">
        <v>7</v>
      </c>
      <c r="K813" s="2">
        <v>0.2</v>
      </c>
      <c r="L813" s="4">
        <v>-172.17</v>
      </c>
      <c r="M813" t="s">
        <v>195</v>
      </c>
      <c r="N813" t="s">
        <v>32</v>
      </c>
      <c r="O813">
        <f>YEAR(Table1[[#This Row],[Order Date]])</f>
        <v>2025</v>
      </c>
      <c r="P813" t="str">
        <f>TEXT(Table1[[#This Row],[Order Date]],"mmmm")</f>
        <v>November</v>
      </c>
      <c r="Q813" t="str">
        <f>TEXT(Table1[[#This Row],[Order Date]],"mm")</f>
        <v>11</v>
      </c>
      <c r="R813" s="2">
        <f>Table1[[#This Row],[Profit]]/Table1[[#This Row],[Sales]]</f>
        <v>-3.5600559121286311E-2</v>
      </c>
      <c r="S813" t="str">
        <f t="shared" si="12"/>
        <v>Medium (11-20%)</v>
      </c>
    </row>
    <row r="814" spans="1:19" x14ac:dyDescent="0.2">
      <c r="A814" t="s">
        <v>1592</v>
      </c>
      <c r="B814" s="3" t="s">
        <v>401</v>
      </c>
      <c r="C814" t="s">
        <v>1234</v>
      </c>
      <c r="D814" t="s">
        <v>27</v>
      </c>
      <c r="E814" t="s">
        <v>28</v>
      </c>
      <c r="F814" t="s">
        <v>19</v>
      </c>
      <c r="G814" t="s">
        <v>29</v>
      </c>
      <c r="H814" t="s">
        <v>199</v>
      </c>
      <c r="I814" s="4">
        <v>5532.35</v>
      </c>
      <c r="J814">
        <v>5</v>
      </c>
      <c r="K814" s="2">
        <v>0.15</v>
      </c>
      <c r="L814" s="4">
        <v>647.04</v>
      </c>
      <c r="M814" t="s">
        <v>117</v>
      </c>
      <c r="N814" t="s">
        <v>32</v>
      </c>
      <c r="O814">
        <f>YEAR(Table1[[#This Row],[Order Date]])</f>
        <v>2024</v>
      </c>
      <c r="P814" t="str">
        <f>TEXT(Table1[[#This Row],[Order Date]],"mmmm")</f>
        <v>October</v>
      </c>
      <c r="Q814" t="str">
        <f>TEXT(Table1[[#This Row],[Order Date]],"mm")</f>
        <v>10</v>
      </c>
      <c r="R814" s="2">
        <f>Table1[[#This Row],[Profit]]/Table1[[#This Row],[Sales]]</f>
        <v>0.11695572405939608</v>
      </c>
      <c r="S814" t="str">
        <f t="shared" si="12"/>
        <v>Medium (11-20%)</v>
      </c>
    </row>
    <row r="815" spans="1:19" x14ac:dyDescent="0.2">
      <c r="A815" t="s">
        <v>1593</v>
      </c>
      <c r="B815" s="3" t="s">
        <v>1594</v>
      </c>
      <c r="C815" t="s">
        <v>749</v>
      </c>
      <c r="D815" t="s">
        <v>137</v>
      </c>
      <c r="E815" t="s">
        <v>138</v>
      </c>
      <c r="F815" t="s">
        <v>55</v>
      </c>
      <c r="G815" t="s">
        <v>74</v>
      </c>
      <c r="H815" t="s">
        <v>133</v>
      </c>
      <c r="I815" s="4">
        <v>3966.93</v>
      </c>
      <c r="J815">
        <v>9</v>
      </c>
      <c r="K815" s="2">
        <v>0.2</v>
      </c>
      <c r="L815" s="4">
        <v>880.97</v>
      </c>
      <c r="M815" t="s">
        <v>87</v>
      </c>
      <c r="N815" t="s">
        <v>23</v>
      </c>
      <c r="O815">
        <f>YEAR(Table1[[#This Row],[Order Date]])</f>
        <v>2025</v>
      </c>
      <c r="P815" t="str">
        <f>TEXT(Table1[[#This Row],[Order Date]],"mmmm")</f>
        <v>May</v>
      </c>
      <c r="Q815" t="str">
        <f>TEXT(Table1[[#This Row],[Order Date]],"mm")</f>
        <v>05</v>
      </c>
      <c r="R815" s="2">
        <f>Table1[[#This Row],[Profit]]/Table1[[#This Row],[Sales]]</f>
        <v>0.22207853428217791</v>
      </c>
      <c r="S815" t="str">
        <f t="shared" si="12"/>
        <v>Medium (11-20%)</v>
      </c>
    </row>
    <row r="816" spans="1:19" x14ac:dyDescent="0.2">
      <c r="A816" t="s">
        <v>1595</v>
      </c>
      <c r="B816" s="3" t="s">
        <v>757</v>
      </c>
      <c r="C816" t="s">
        <v>26</v>
      </c>
      <c r="D816" t="s">
        <v>27</v>
      </c>
      <c r="E816" t="s">
        <v>124</v>
      </c>
      <c r="F816" t="s">
        <v>55</v>
      </c>
      <c r="G816" t="s">
        <v>74</v>
      </c>
      <c r="H816" t="s">
        <v>272</v>
      </c>
      <c r="I816" s="4">
        <v>2156.62</v>
      </c>
      <c r="J816">
        <v>2</v>
      </c>
      <c r="K816" s="2">
        <v>0.05</v>
      </c>
      <c r="L816" s="4">
        <v>110.68</v>
      </c>
      <c r="M816" t="s">
        <v>107</v>
      </c>
      <c r="N816" t="s">
        <v>23</v>
      </c>
      <c r="O816">
        <f>YEAR(Table1[[#This Row],[Order Date]])</f>
        <v>2025</v>
      </c>
      <c r="P816" t="str">
        <f>TEXT(Table1[[#This Row],[Order Date]],"mmmm")</f>
        <v>June</v>
      </c>
      <c r="Q816" t="str">
        <f>TEXT(Table1[[#This Row],[Order Date]],"mm")</f>
        <v>06</v>
      </c>
      <c r="R816" s="2">
        <f>Table1[[#This Row],[Profit]]/Table1[[#This Row],[Sales]]</f>
        <v>5.1321048678023951E-2</v>
      </c>
      <c r="S816" t="str">
        <f t="shared" si="12"/>
        <v>Low (1-10%)</v>
      </c>
    </row>
    <row r="817" spans="1:19" x14ac:dyDescent="0.2">
      <c r="A817" t="s">
        <v>1596</v>
      </c>
      <c r="B817" s="3" t="s">
        <v>1562</v>
      </c>
      <c r="C817" t="s">
        <v>693</v>
      </c>
      <c r="D817" t="s">
        <v>17</v>
      </c>
      <c r="E817" t="s">
        <v>54</v>
      </c>
      <c r="F817" t="s">
        <v>67</v>
      </c>
      <c r="G817" t="s">
        <v>115</v>
      </c>
      <c r="H817" t="s">
        <v>178</v>
      </c>
      <c r="I817" s="4">
        <v>1337.04</v>
      </c>
      <c r="J817">
        <v>3</v>
      </c>
      <c r="K817" s="2">
        <v>0.1</v>
      </c>
      <c r="L817" s="4">
        <v>67.849999999999994</v>
      </c>
      <c r="M817" t="s">
        <v>107</v>
      </c>
      <c r="N817" t="s">
        <v>76</v>
      </c>
      <c r="O817">
        <f>YEAR(Table1[[#This Row],[Order Date]])</f>
        <v>2024</v>
      </c>
      <c r="P817" t="str">
        <f>TEXT(Table1[[#This Row],[Order Date]],"mmmm")</f>
        <v>March</v>
      </c>
      <c r="Q817" t="str">
        <f>TEXT(Table1[[#This Row],[Order Date]],"mm")</f>
        <v>03</v>
      </c>
      <c r="R817" s="2">
        <f>Table1[[#This Row],[Profit]]/Table1[[#This Row],[Sales]]</f>
        <v>5.0746424938670494E-2</v>
      </c>
      <c r="S817" t="str">
        <f t="shared" si="12"/>
        <v>Low (1-10%)</v>
      </c>
    </row>
    <row r="818" spans="1:19" x14ac:dyDescent="0.2">
      <c r="A818" t="s">
        <v>1597</v>
      </c>
      <c r="B818" s="3" t="s">
        <v>454</v>
      </c>
      <c r="C818" t="s">
        <v>408</v>
      </c>
      <c r="D818" t="s">
        <v>27</v>
      </c>
      <c r="E818" t="s">
        <v>28</v>
      </c>
      <c r="F818" t="s">
        <v>55</v>
      </c>
      <c r="G818" t="s">
        <v>98</v>
      </c>
      <c r="H818" t="s">
        <v>99</v>
      </c>
      <c r="I818" s="4">
        <v>6318.96</v>
      </c>
      <c r="J818">
        <v>8</v>
      </c>
      <c r="K818" s="2">
        <v>0.15</v>
      </c>
      <c r="L818" s="4">
        <v>-325.38</v>
      </c>
      <c r="M818" t="s">
        <v>22</v>
      </c>
      <c r="N818" t="s">
        <v>23</v>
      </c>
      <c r="O818">
        <f>YEAR(Table1[[#This Row],[Order Date]])</f>
        <v>2025</v>
      </c>
      <c r="P818" t="str">
        <f>TEXT(Table1[[#This Row],[Order Date]],"mmmm")</f>
        <v>June</v>
      </c>
      <c r="Q818" t="str">
        <f>TEXT(Table1[[#This Row],[Order Date]],"mm")</f>
        <v>06</v>
      </c>
      <c r="R818" s="2">
        <f>Table1[[#This Row],[Profit]]/Table1[[#This Row],[Sales]]</f>
        <v>-5.1492650689353943E-2</v>
      </c>
      <c r="S818" t="str">
        <f t="shared" si="12"/>
        <v>Medium (11-20%)</v>
      </c>
    </row>
    <row r="819" spans="1:19" x14ac:dyDescent="0.2">
      <c r="A819" t="s">
        <v>1598</v>
      </c>
      <c r="B819" s="3" t="s">
        <v>1599</v>
      </c>
      <c r="C819" t="s">
        <v>172</v>
      </c>
      <c r="D819" t="s">
        <v>27</v>
      </c>
      <c r="E819" t="s">
        <v>61</v>
      </c>
      <c r="F819" t="s">
        <v>55</v>
      </c>
      <c r="G819" t="s">
        <v>56</v>
      </c>
      <c r="H819" t="s">
        <v>57</v>
      </c>
      <c r="I819" s="4">
        <v>10628.46</v>
      </c>
      <c r="J819">
        <v>9</v>
      </c>
      <c r="K819" s="2">
        <v>0.1</v>
      </c>
      <c r="L819" s="4">
        <v>3283.02</v>
      </c>
      <c r="M819" t="s">
        <v>195</v>
      </c>
      <c r="N819" t="s">
        <v>39</v>
      </c>
      <c r="O819">
        <f>YEAR(Table1[[#This Row],[Order Date]])</f>
        <v>2025</v>
      </c>
      <c r="P819" t="str">
        <f>TEXT(Table1[[#This Row],[Order Date]],"mmmm")</f>
        <v>July</v>
      </c>
      <c r="Q819" t="str">
        <f>TEXT(Table1[[#This Row],[Order Date]],"mm")</f>
        <v>07</v>
      </c>
      <c r="R819" s="2">
        <f>Table1[[#This Row],[Profit]]/Table1[[#This Row],[Sales]]</f>
        <v>0.30888952868054265</v>
      </c>
      <c r="S819" t="str">
        <f t="shared" si="12"/>
        <v>Low (1-10%)</v>
      </c>
    </row>
    <row r="820" spans="1:19" x14ac:dyDescent="0.2">
      <c r="A820" t="s">
        <v>1600</v>
      </c>
      <c r="B820" s="3" t="s">
        <v>288</v>
      </c>
      <c r="C820" t="s">
        <v>1234</v>
      </c>
      <c r="D820" t="s">
        <v>27</v>
      </c>
      <c r="E820" t="s">
        <v>61</v>
      </c>
      <c r="F820" t="s">
        <v>55</v>
      </c>
      <c r="G820" t="s">
        <v>98</v>
      </c>
      <c r="H820" t="s">
        <v>99</v>
      </c>
      <c r="I820" s="4">
        <v>7855.47</v>
      </c>
      <c r="J820">
        <v>9</v>
      </c>
      <c r="K820" s="2">
        <v>0.2</v>
      </c>
      <c r="L820" s="4">
        <v>1062.1099999999999</v>
      </c>
      <c r="M820" t="s">
        <v>63</v>
      </c>
      <c r="N820" t="s">
        <v>76</v>
      </c>
      <c r="O820">
        <f>YEAR(Table1[[#This Row],[Order Date]])</f>
        <v>2024</v>
      </c>
      <c r="P820" t="str">
        <f>TEXT(Table1[[#This Row],[Order Date]],"mmmm")</f>
        <v>November</v>
      </c>
      <c r="Q820" t="str">
        <f>TEXT(Table1[[#This Row],[Order Date]],"mm")</f>
        <v>11</v>
      </c>
      <c r="R820" s="2">
        <f>Table1[[#This Row],[Profit]]/Table1[[#This Row],[Sales]]</f>
        <v>0.13520642304025091</v>
      </c>
      <c r="S820" t="str">
        <f t="shared" si="12"/>
        <v>Medium (11-20%)</v>
      </c>
    </row>
    <row r="821" spans="1:19" x14ac:dyDescent="0.2">
      <c r="A821" t="s">
        <v>1601</v>
      </c>
      <c r="B821" s="3" t="s">
        <v>227</v>
      </c>
      <c r="C821" t="s">
        <v>701</v>
      </c>
      <c r="D821" t="s">
        <v>17</v>
      </c>
      <c r="E821" t="s">
        <v>97</v>
      </c>
      <c r="F821" t="s">
        <v>67</v>
      </c>
      <c r="G821" t="s">
        <v>68</v>
      </c>
      <c r="H821" t="s">
        <v>69</v>
      </c>
      <c r="I821" s="4">
        <v>209.82</v>
      </c>
      <c r="J821">
        <v>2</v>
      </c>
      <c r="K821" s="2">
        <v>0</v>
      </c>
      <c r="L821" s="4">
        <v>52.92</v>
      </c>
      <c r="M821" t="s">
        <v>87</v>
      </c>
      <c r="N821" t="s">
        <v>39</v>
      </c>
      <c r="O821">
        <f>YEAR(Table1[[#This Row],[Order Date]])</f>
        <v>2025</v>
      </c>
      <c r="P821" t="str">
        <f>TEXT(Table1[[#This Row],[Order Date]],"mmmm")</f>
        <v>November</v>
      </c>
      <c r="Q821" t="str">
        <f>TEXT(Table1[[#This Row],[Order Date]],"mm")</f>
        <v>11</v>
      </c>
      <c r="R821" s="2">
        <f>Table1[[#This Row],[Profit]]/Table1[[#This Row],[Sales]]</f>
        <v>0.25221618530168716</v>
      </c>
      <c r="S821" t="str">
        <f t="shared" si="12"/>
        <v>No Discount</v>
      </c>
    </row>
    <row r="822" spans="1:19" x14ac:dyDescent="0.2">
      <c r="A822" t="s">
        <v>1602</v>
      </c>
      <c r="B822" s="3" t="s">
        <v>1416</v>
      </c>
      <c r="C822" t="s">
        <v>851</v>
      </c>
      <c r="D822" t="s">
        <v>48</v>
      </c>
      <c r="E822" t="s">
        <v>110</v>
      </c>
      <c r="F822" t="s">
        <v>55</v>
      </c>
      <c r="G822" t="s">
        <v>98</v>
      </c>
      <c r="H822" t="s">
        <v>154</v>
      </c>
      <c r="I822" s="4">
        <v>515.67999999999995</v>
      </c>
      <c r="J822">
        <v>1</v>
      </c>
      <c r="K822" s="2">
        <v>0.3</v>
      </c>
      <c r="L822" s="4">
        <v>-47.01</v>
      </c>
      <c r="M822" t="s">
        <v>38</v>
      </c>
      <c r="N822" t="s">
        <v>32</v>
      </c>
      <c r="O822">
        <f>YEAR(Table1[[#This Row],[Order Date]])</f>
        <v>2024</v>
      </c>
      <c r="P822" t="str">
        <f>TEXT(Table1[[#This Row],[Order Date]],"mmmm")</f>
        <v>October</v>
      </c>
      <c r="Q822" t="str">
        <f>TEXT(Table1[[#This Row],[Order Date]],"mm")</f>
        <v>10</v>
      </c>
      <c r="R822" s="2">
        <f>Table1[[#This Row],[Profit]]/Table1[[#This Row],[Sales]]</f>
        <v>-9.1161185231151104E-2</v>
      </c>
      <c r="S822" t="str">
        <f t="shared" si="12"/>
        <v>High (21-30%)</v>
      </c>
    </row>
    <row r="823" spans="1:19" x14ac:dyDescent="0.2">
      <c r="A823" t="s">
        <v>1603</v>
      </c>
      <c r="B823" s="3" t="s">
        <v>580</v>
      </c>
      <c r="C823" t="s">
        <v>1010</v>
      </c>
      <c r="D823" t="s">
        <v>48</v>
      </c>
      <c r="E823" t="s">
        <v>73</v>
      </c>
      <c r="F823" t="s">
        <v>55</v>
      </c>
      <c r="G823" t="s">
        <v>56</v>
      </c>
      <c r="H823" t="s">
        <v>129</v>
      </c>
      <c r="I823" s="4">
        <v>2795.13</v>
      </c>
      <c r="J823">
        <v>3</v>
      </c>
      <c r="K823" s="2">
        <v>0.25</v>
      </c>
      <c r="L823" s="4">
        <v>227.14</v>
      </c>
      <c r="M823" t="s">
        <v>44</v>
      </c>
      <c r="N823" t="s">
        <v>23</v>
      </c>
      <c r="O823">
        <f>YEAR(Table1[[#This Row],[Order Date]])</f>
        <v>2025</v>
      </c>
      <c r="P823" t="str">
        <f>TEXT(Table1[[#This Row],[Order Date]],"mmmm")</f>
        <v>December</v>
      </c>
      <c r="Q823" t="str">
        <f>TEXT(Table1[[#This Row],[Order Date]],"mm")</f>
        <v>12</v>
      </c>
      <c r="R823" s="2">
        <f>Table1[[#This Row],[Profit]]/Table1[[#This Row],[Sales]]</f>
        <v>8.1262767742466352E-2</v>
      </c>
      <c r="S823" t="str">
        <f t="shared" si="12"/>
        <v>High (21-30%)</v>
      </c>
    </row>
    <row r="824" spans="1:19" x14ac:dyDescent="0.2">
      <c r="A824" t="s">
        <v>1604</v>
      </c>
      <c r="B824" s="3" t="s">
        <v>1605</v>
      </c>
      <c r="C824" t="s">
        <v>498</v>
      </c>
      <c r="D824" t="s">
        <v>27</v>
      </c>
      <c r="E824" t="s">
        <v>124</v>
      </c>
      <c r="F824" t="s">
        <v>19</v>
      </c>
      <c r="G824" t="s">
        <v>36</v>
      </c>
      <c r="H824" t="s">
        <v>222</v>
      </c>
      <c r="I824" s="4">
        <v>277.37</v>
      </c>
      <c r="J824">
        <v>1</v>
      </c>
      <c r="K824" s="2">
        <v>0.2</v>
      </c>
      <c r="L824" s="4">
        <v>12.76</v>
      </c>
      <c r="M824" t="s">
        <v>143</v>
      </c>
      <c r="N824" t="s">
        <v>32</v>
      </c>
      <c r="O824">
        <f>YEAR(Table1[[#This Row],[Order Date]])</f>
        <v>2024</v>
      </c>
      <c r="P824" t="str">
        <f>TEXT(Table1[[#This Row],[Order Date]],"mmmm")</f>
        <v>January</v>
      </c>
      <c r="Q824" t="str">
        <f>TEXT(Table1[[#This Row],[Order Date]],"mm")</f>
        <v>01</v>
      </c>
      <c r="R824" s="2">
        <f>Table1[[#This Row],[Profit]]/Table1[[#This Row],[Sales]]</f>
        <v>4.6003533186718099E-2</v>
      </c>
      <c r="S824" t="str">
        <f t="shared" si="12"/>
        <v>Medium (11-20%)</v>
      </c>
    </row>
    <row r="825" spans="1:19" x14ac:dyDescent="0.2">
      <c r="A825" t="s">
        <v>1606</v>
      </c>
      <c r="B825" s="3" t="s">
        <v>799</v>
      </c>
      <c r="C825" t="s">
        <v>1088</v>
      </c>
      <c r="D825" t="s">
        <v>17</v>
      </c>
      <c r="E825" t="s">
        <v>54</v>
      </c>
      <c r="F825" t="s">
        <v>67</v>
      </c>
      <c r="G825" t="s">
        <v>85</v>
      </c>
      <c r="H825" t="s">
        <v>253</v>
      </c>
      <c r="I825" s="4">
        <v>8172.2</v>
      </c>
      <c r="J825">
        <v>10</v>
      </c>
      <c r="K825" s="2">
        <v>0.3</v>
      </c>
      <c r="L825" s="4">
        <v>-959.77</v>
      </c>
      <c r="M825" t="s">
        <v>38</v>
      </c>
      <c r="N825" t="s">
        <v>76</v>
      </c>
      <c r="O825">
        <f>YEAR(Table1[[#This Row],[Order Date]])</f>
        <v>2025</v>
      </c>
      <c r="P825" t="str">
        <f>TEXT(Table1[[#This Row],[Order Date]],"mmmm")</f>
        <v>August</v>
      </c>
      <c r="Q825" t="str">
        <f>TEXT(Table1[[#This Row],[Order Date]],"mm")</f>
        <v>08</v>
      </c>
      <c r="R825" s="2">
        <f>Table1[[#This Row],[Profit]]/Table1[[#This Row],[Sales]]</f>
        <v>-0.11744328332639925</v>
      </c>
      <c r="S825" t="str">
        <f t="shared" si="12"/>
        <v>High (21-30%)</v>
      </c>
    </row>
    <row r="826" spans="1:19" x14ac:dyDescent="0.2">
      <c r="A826" t="s">
        <v>1607</v>
      </c>
      <c r="B826" s="3" t="s">
        <v>214</v>
      </c>
      <c r="C826" t="s">
        <v>324</v>
      </c>
      <c r="D826" t="s">
        <v>27</v>
      </c>
      <c r="E826" t="s">
        <v>43</v>
      </c>
      <c r="F826" t="s">
        <v>55</v>
      </c>
      <c r="G826" t="s">
        <v>74</v>
      </c>
      <c r="H826" t="s">
        <v>272</v>
      </c>
      <c r="I826" s="4">
        <v>3933.28</v>
      </c>
      <c r="J826">
        <v>4</v>
      </c>
      <c r="K826" s="2">
        <v>0.25</v>
      </c>
      <c r="L826" s="4">
        <v>-82.07</v>
      </c>
      <c r="M826" t="s">
        <v>87</v>
      </c>
      <c r="N826" t="s">
        <v>23</v>
      </c>
      <c r="O826">
        <f>YEAR(Table1[[#This Row],[Order Date]])</f>
        <v>2025</v>
      </c>
      <c r="P826" t="str">
        <f>TEXT(Table1[[#This Row],[Order Date]],"mmmm")</f>
        <v>November</v>
      </c>
      <c r="Q826" t="str">
        <f>TEXT(Table1[[#This Row],[Order Date]],"mm")</f>
        <v>11</v>
      </c>
      <c r="R826" s="2">
        <f>Table1[[#This Row],[Profit]]/Table1[[#This Row],[Sales]]</f>
        <v>-2.0865537159825892E-2</v>
      </c>
      <c r="S826" t="str">
        <f t="shared" si="12"/>
        <v>High (21-30%)</v>
      </c>
    </row>
    <row r="827" spans="1:19" x14ac:dyDescent="0.2">
      <c r="A827" t="s">
        <v>1608</v>
      </c>
      <c r="B827" s="3" t="s">
        <v>1609</v>
      </c>
      <c r="C827" t="s">
        <v>79</v>
      </c>
      <c r="D827" t="s">
        <v>137</v>
      </c>
      <c r="E827" t="s">
        <v>160</v>
      </c>
      <c r="F827" t="s">
        <v>19</v>
      </c>
      <c r="G827" t="s">
        <v>29</v>
      </c>
      <c r="H827" t="s">
        <v>50</v>
      </c>
      <c r="I827" s="4">
        <v>113.68</v>
      </c>
      <c r="J827">
        <v>1</v>
      </c>
      <c r="K827" s="2">
        <v>0.15</v>
      </c>
      <c r="L827" s="4">
        <v>-6.41</v>
      </c>
      <c r="M827" t="s">
        <v>143</v>
      </c>
      <c r="N827" t="s">
        <v>76</v>
      </c>
      <c r="O827">
        <f>YEAR(Table1[[#This Row],[Order Date]])</f>
        <v>2024</v>
      </c>
      <c r="P827" t="str">
        <f>TEXT(Table1[[#This Row],[Order Date]],"mmmm")</f>
        <v>May</v>
      </c>
      <c r="Q827" t="str">
        <f>TEXT(Table1[[#This Row],[Order Date]],"mm")</f>
        <v>05</v>
      </c>
      <c r="R827" s="2">
        <f>Table1[[#This Row],[Profit]]/Table1[[#This Row],[Sales]]</f>
        <v>-5.6386347642505275E-2</v>
      </c>
      <c r="S827" t="str">
        <f t="shared" si="12"/>
        <v>Medium (11-20%)</v>
      </c>
    </row>
    <row r="828" spans="1:19" x14ac:dyDescent="0.2">
      <c r="A828" t="s">
        <v>1610</v>
      </c>
      <c r="B828" s="3" t="s">
        <v>905</v>
      </c>
      <c r="C828" t="s">
        <v>800</v>
      </c>
      <c r="D828" t="s">
        <v>17</v>
      </c>
      <c r="E828" t="s">
        <v>18</v>
      </c>
      <c r="F828" t="s">
        <v>67</v>
      </c>
      <c r="G828" t="s">
        <v>85</v>
      </c>
      <c r="H828" t="s">
        <v>125</v>
      </c>
      <c r="I828" s="4">
        <v>9765.7000000000007</v>
      </c>
      <c r="J828">
        <v>10</v>
      </c>
      <c r="K828" s="2">
        <v>0</v>
      </c>
      <c r="L828" s="4">
        <v>736.3</v>
      </c>
      <c r="M828" t="s">
        <v>107</v>
      </c>
      <c r="N828" t="s">
        <v>32</v>
      </c>
      <c r="O828">
        <f>YEAR(Table1[[#This Row],[Order Date]])</f>
        <v>2024</v>
      </c>
      <c r="P828" t="str">
        <f>TEXT(Table1[[#This Row],[Order Date]],"mmmm")</f>
        <v>August</v>
      </c>
      <c r="Q828" t="str">
        <f>TEXT(Table1[[#This Row],[Order Date]],"mm")</f>
        <v>08</v>
      </c>
      <c r="R828" s="2">
        <f>Table1[[#This Row],[Profit]]/Table1[[#This Row],[Sales]]</f>
        <v>7.5396540954565452E-2</v>
      </c>
      <c r="S828" t="str">
        <f t="shared" si="12"/>
        <v>No Discount</v>
      </c>
    </row>
    <row r="829" spans="1:19" x14ac:dyDescent="0.2">
      <c r="A829" t="s">
        <v>1611</v>
      </c>
      <c r="B829" s="3" t="s">
        <v>1586</v>
      </c>
      <c r="C829" t="s">
        <v>386</v>
      </c>
      <c r="D829" t="s">
        <v>17</v>
      </c>
      <c r="E829" t="s">
        <v>54</v>
      </c>
      <c r="F829" t="s">
        <v>19</v>
      </c>
      <c r="G829" t="s">
        <v>36</v>
      </c>
      <c r="H829" t="s">
        <v>37</v>
      </c>
      <c r="I829" s="4">
        <v>3597.15</v>
      </c>
      <c r="J829">
        <v>3</v>
      </c>
      <c r="K829" s="2">
        <v>0</v>
      </c>
      <c r="L829" s="4">
        <v>253.61</v>
      </c>
      <c r="M829" t="s">
        <v>87</v>
      </c>
      <c r="N829" t="s">
        <v>23</v>
      </c>
      <c r="O829">
        <f>YEAR(Table1[[#This Row],[Order Date]])</f>
        <v>2024</v>
      </c>
      <c r="P829" t="str">
        <f>TEXT(Table1[[#This Row],[Order Date]],"mmmm")</f>
        <v>May</v>
      </c>
      <c r="Q829" t="str">
        <f>TEXT(Table1[[#This Row],[Order Date]],"mm")</f>
        <v>05</v>
      </c>
      <c r="R829" s="2">
        <f>Table1[[#This Row],[Profit]]/Table1[[#This Row],[Sales]]</f>
        <v>7.0503037126614126E-2</v>
      </c>
      <c r="S829" t="str">
        <f t="shared" si="12"/>
        <v>No Discount</v>
      </c>
    </row>
    <row r="830" spans="1:19" x14ac:dyDescent="0.2">
      <c r="A830" t="s">
        <v>1612</v>
      </c>
      <c r="B830" s="3" t="s">
        <v>1142</v>
      </c>
      <c r="C830" t="s">
        <v>208</v>
      </c>
      <c r="D830" t="s">
        <v>137</v>
      </c>
      <c r="E830" t="s">
        <v>138</v>
      </c>
      <c r="F830" t="s">
        <v>19</v>
      </c>
      <c r="G830" t="s">
        <v>29</v>
      </c>
      <c r="H830" t="s">
        <v>50</v>
      </c>
      <c r="I830" s="4">
        <v>1885.24</v>
      </c>
      <c r="J830">
        <v>4</v>
      </c>
      <c r="K830" s="2">
        <v>0.05</v>
      </c>
      <c r="L830" s="4">
        <v>628.12</v>
      </c>
      <c r="M830" t="s">
        <v>107</v>
      </c>
      <c r="N830" t="s">
        <v>32</v>
      </c>
      <c r="O830">
        <f>YEAR(Table1[[#This Row],[Order Date]])</f>
        <v>2025</v>
      </c>
      <c r="P830" t="str">
        <f>TEXT(Table1[[#This Row],[Order Date]],"mmmm")</f>
        <v>January</v>
      </c>
      <c r="Q830" t="str">
        <f>TEXT(Table1[[#This Row],[Order Date]],"mm")</f>
        <v>01</v>
      </c>
      <c r="R830" s="2">
        <f>Table1[[#This Row],[Profit]]/Table1[[#This Row],[Sales]]</f>
        <v>0.33317773864335576</v>
      </c>
      <c r="S830" t="str">
        <f t="shared" si="12"/>
        <v>Low (1-10%)</v>
      </c>
    </row>
    <row r="831" spans="1:19" x14ac:dyDescent="0.2">
      <c r="A831" t="s">
        <v>1613</v>
      </c>
      <c r="B831" s="3" t="s">
        <v>1614</v>
      </c>
      <c r="C831" t="s">
        <v>548</v>
      </c>
      <c r="D831" t="s">
        <v>27</v>
      </c>
      <c r="E831" t="s">
        <v>28</v>
      </c>
      <c r="F831" t="s">
        <v>67</v>
      </c>
      <c r="G831" t="s">
        <v>85</v>
      </c>
      <c r="H831" t="s">
        <v>253</v>
      </c>
      <c r="I831" s="4">
        <v>4543.4399999999996</v>
      </c>
      <c r="J831">
        <v>4</v>
      </c>
      <c r="K831" s="2">
        <v>0.05</v>
      </c>
      <c r="L831" s="4">
        <v>1589.22</v>
      </c>
      <c r="M831" t="s">
        <v>143</v>
      </c>
      <c r="N831" t="s">
        <v>76</v>
      </c>
      <c r="O831">
        <f>YEAR(Table1[[#This Row],[Order Date]])</f>
        <v>2024</v>
      </c>
      <c r="P831" t="str">
        <f>TEXT(Table1[[#This Row],[Order Date]],"mmmm")</f>
        <v>November</v>
      </c>
      <c r="Q831" t="str">
        <f>TEXT(Table1[[#This Row],[Order Date]],"mm")</f>
        <v>11</v>
      </c>
      <c r="R831" s="2">
        <f>Table1[[#This Row],[Profit]]/Table1[[#This Row],[Sales]]</f>
        <v>0.3497834240135228</v>
      </c>
      <c r="S831" t="str">
        <f t="shared" si="12"/>
        <v>Low (1-10%)</v>
      </c>
    </row>
    <row r="832" spans="1:19" x14ac:dyDescent="0.2">
      <c r="A832" t="s">
        <v>1615</v>
      </c>
      <c r="B832" s="3" t="s">
        <v>177</v>
      </c>
      <c r="C832" t="s">
        <v>202</v>
      </c>
      <c r="D832" t="s">
        <v>48</v>
      </c>
      <c r="E832" t="s">
        <v>84</v>
      </c>
      <c r="F832" t="s">
        <v>19</v>
      </c>
      <c r="G832" t="s">
        <v>36</v>
      </c>
      <c r="H832" t="s">
        <v>37</v>
      </c>
      <c r="I832" s="4">
        <v>9047.84</v>
      </c>
      <c r="J832">
        <v>8</v>
      </c>
      <c r="K832" s="2">
        <v>0.1</v>
      </c>
      <c r="L832" s="4">
        <v>823.72</v>
      </c>
      <c r="M832" t="s">
        <v>195</v>
      </c>
      <c r="N832" t="s">
        <v>23</v>
      </c>
      <c r="O832">
        <f>YEAR(Table1[[#This Row],[Order Date]])</f>
        <v>2025</v>
      </c>
      <c r="P832" t="str">
        <f>TEXT(Table1[[#This Row],[Order Date]],"mmmm")</f>
        <v>March</v>
      </c>
      <c r="Q832" t="str">
        <f>TEXT(Table1[[#This Row],[Order Date]],"mm")</f>
        <v>03</v>
      </c>
      <c r="R832" s="2">
        <f>Table1[[#This Row],[Profit]]/Table1[[#This Row],[Sales]]</f>
        <v>9.1040513536932571E-2</v>
      </c>
      <c r="S832" t="str">
        <f t="shared" si="12"/>
        <v>Low (1-10%)</v>
      </c>
    </row>
    <row r="833" spans="1:19" x14ac:dyDescent="0.2">
      <c r="A833" t="s">
        <v>1616</v>
      </c>
      <c r="B833" s="3" t="s">
        <v>1617</v>
      </c>
      <c r="C833" t="s">
        <v>792</v>
      </c>
      <c r="D833" t="s">
        <v>48</v>
      </c>
      <c r="E833" t="s">
        <v>73</v>
      </c>
      <c r="F833" t="s">
        <v>19</v>
      </c>
      <c r="G833" t="s">
        <v>20</v>
      </c>
      <c r="H833" t="s">
        <v>347</v>
      </c>
      <c r="I833" s="4">
        <v>9136.7000000000007</v>
      </c>
      <c r="J833">
        <v>10</v>
      </c>
      <c r="K833" s="2">
        <v>0.3</v>
      </c>
      <c r="L833" s="4">
        <v>1296.01</v>
      </c>
      <c r="M833" t="s">
        <v>87</v>
      </c>
      <c r="N833" t="s">
        <v>76</v>
      </c>
      <c r="O833">
        <f>YEAR(Table1[[#This Row],[Order Date]])</f>
        <v>2024</v>
      </c>
      <c r="P833" t="str">
        <f>TEXT(Table1[[#This Row],[Order Date]],"mmmm")</f>
        <v>April</v>
      </c>
      <c r="Q833" t="str">
        <f>TEXT(Table1[[#This Row],[Order Date]],"mm")</f>
        <v>04</v>
      </c>
      <c r="R833" s="2">
        <f>Table1[[#This Row],[Profit]]/Table1[[#This Row],[Sales]]</f>
        <v>0.14184661858220143</v>
      </c>
      <c r="S833" t="str">
        <f t="shared" si="12"/>
        <v>High (21-30%)</v>
      </c>
    </row>
    <row r="834" spans="1:19" x14ac:dyDescent="0.2">
      <c r="A834" t="s">
        <v>1618</v>
      </c>
      <c r="B834" s="3" t="s">
        <v>1619</v>
      </c>
      <c r="C834" t="s">
        <v>540</v>
      </c>
      <c r="D834" t="s">
        <v>137</v>
      </c>
      <c r="E834" t="s">
        <v>138</v>
      </c>
      <c r="F834" t="s">
        <v>55</v>
      </c>
      <c r="G834" t="s">
        <v>74</v>
      </c>
      <c r="H834" t="s">
        <v>272</v>
      </c>
      <c r="I834" s="4">
        <v>751.04</v>
      </c>
      <c r="J834">
        <v>2</v>
      </c>
      <c r="K834" s="2">
        <v>0.1</v>
      </c>
      <c r="L834" s="4">
        <v>75.92</v>
      </c>
      <c r="M834" t="s">
        <v>87</v>
      </c>
      <c r="N834" t="s">
        <v>23</v>
      </c>
      <c r="O834">
        <f>YEAR(Table1[[#This Row],[Order Date]])</f>
        <v>2024</v>
      </c>
      <c r="P834" t="str">
        <f>TEXT(Table1[[#This Row],[Order Date]],"mmmm")</f>
        <v>December</v>
      </c>
      <c r="Q834" t="str">
        <f>TEXT(Table1[[#This Row],[Order Date]],"mm")</f>
        <v>12</v>
      </c>
      <c r="R834" s="2">
        <f>Table1[[#This Row],[Profit]]/Table1[[#This Row],[Sales]]</f>
        <v>0.10108649339582447</v>
      </c>
      <c r="S834" t="str">
        <f t="shared" ref="S834:S897" si="13">IF(K834=0,"No Discount",
IF(K834&lt;=0.1,"Low (1-10%)",
IF(K834&lt;=0.2,"Medium (11-20%)",
IF(K834&lt;=0.3,"High (21-30%)","Very High (&gt;30%)"))))</f>
        <v>Low (1-10%)</v>
      </c>
    </row>
    <row r="835" spans="1:19" x14ac:dyDescent="0.2">
      <c r="A835" t="s">
        <v>1620</v>
      </c>
      <c r="B835" s="3" t="s">
        <v>663</v>
      </c>
      <c r="C835" t="s">
        <v>249</v>
      </c>
      <c r="D835" t="s">
        <v>27</v>
      </c>
      <c r="E835" t="s">
        <v>28</v>
      </c>
      <c r="F835" t="s">
        <v>19</v>
      </c>
      <c r="G835" t="s">
        <v>20</v>
      </c>
      <c r="H835" t="s">
        <v>21</v>
      </c>
      <c r="I835" s="4">
        <v>9198.1</v>
      </c>
      <c r="J835">
        <v>10</v>
      </c>
      <c r="K835" s="2">
        <v>0.25</v>
      </c>
      <c r="L835" s="4">
        <v>-1608.91</v>
      </c>
      <c r="M835" t="s">
        <v>87</v>
      </c>
      <c r="N835" t="s">
        <v>39</v>
      </c>
      <c r="O835">
        <f>YEAR(Table1[[#This Row],[Order Date]])</f>
        <v>2025</v>
      </c>
      <c r="P835" t="str">
        <f>TEXT(Table1[[#This Row],[Order Date]],"mmmm")</f>
        <v>July</v>
      </c>
      <c r="Q835" t="str">
        <f>TEXT(Table1[[#This Row],[Order Date]],"mm")</f>
        <v>07</v>
      </c>
      <c r="R835" s="2">
        <f>Table1[[#This Row],[Profit]]/Table1[[#This Row],[Sales]]</f>
        <v>-0.17491764603559432</v>
      </c>
      <c r="S835" t="str">
        <f t="shared" si="13"/>
        <v>High (21-30%)</v>
      </c>
    </row>
    <row r="836" spans="1:19" x14ac:dyDescent="0.2">
      <c r="A836" t="s">
        <v>1621</v>
      </c>
      <c r="B836" s="3" t="s">
        <v>82</v>
      </c>
      <c r="C836" t="s">
        <v>932</v>
      </c>
      <c r="D836" t="s">
        <v>137</v>
      </c>
      <c r="E836" t="s">
        <v>242</v>
      </c>
      <c r="F836" t="s">
        <v>55</v>
      </c>
      <c r="G836" t="s">
        <v>56</v>
      </c>
      <c r="H836" t="s">
        <v>62</v>
      </c>
      <c r="I836" s="4">
        <v>687.59</v>
      </c>
      <c r="J836">
        <v>1</v>
      </c>
      <c r="K836" s="2">
        <v>0.15</v>
      </c>
      <c r="L836" s="4">
        <v>62.21</v>
      </c>
      <c r="M836" t="s">
        <v>117</v>
      </c>
      <c r="N836" t="s">
        <v>32</v>
      </c>
      <c r="O836">
        <f>YEAR(Table1[[#This Row],[Order Date]])</f>
        <v>2024</v>
      </c>
      <c r="P836" t="str">
        <f>TEXT(Table1[[#This Row],[Order Date]],"mmmm")</f>
        <v>March</v>
      </c>
      <c r="Q836" t="str">
        <f>TEXT(Table1[[#This Row],[Order Date]],"mm")</f>
        <v>03</v>
      </c>
      <c r="R836" s="2">
        <f>Table1[[#This Row],[Profit]]/Table1[[#This Row],[Sales]]</f>
        <v>9.0475428671155766E-2</v>
      </c>
      <c r="S836" t="str">
        <f t="shared" si="13"/>
        <v>Medium (11-20%)</v>
      </c>
    </row>
    <row r="837" spans="1:19" x14ac:dyDescent="0.2">
      <c r="A837" t="s">
        <v>1622</v>
      </c>
      <c r="B837" s="3" t="s">
        <v>550</v>
      </c>
      <c r="C837" t="s">
        <v>1056</v>
      </c>
      <c r="D837" t="s">
        <v>17</v>
      </c>
      <c r="E837" t="s">
        <v>54</v>
      </c>
      <c r="F837" t="s">
        <v>19</v>
      </c>
      <c r="G837" t="s">
        <v>20</v>
      </c>
      <c r="H837" t="s">
        <v>21</v>
      </c>
      <c r="I837" s="4">
        <v>10420.6</v>
      </c>
      <c r="J837">
        <v>10</v>
      </c>
      <c r="K837" s="2">
        <v>0</v>
      </c>
      <c r="L837" s="4">
        <v>3804</v>
      </c>
      <c r="M837" t="s">
        <v>22</v>
      </c>
      <c r="N837" t="s">
        <v>39</v>
      </c>
      <c r="O837">
        <f>YEAR(Table1[[#This Row],[Order Date]])</f>
        <v>2024</v>
      </c>
      <c r="P837" t="str">
        <f>TEXT(Table1[[#This Row],[Order Date]],"mmmm")</f>
        <v>June</v>
      </c>
      <c r="Q837" t="str">
        <f>TEXT(Table1[[#This Row],[Order Date]],"mm")</f>
        <v>06</v>
      </c>
      <c r="R837" s="2">
        <f>Table1[[#This Row],[Profit]]/Table1[[#This Row],[Sales]]</f>
        <v>0.36504615857052375</v>
      </c>
      <c r="S837" t="str">
        <f t="shared" si="13"/>
        <v>No Discount</v>
      </c>
    </row>
    <row r="838" spans="1:19" x14ac:dyDescent="0.2">
      <c r="A838" t="s">
        <v>1623</v>
      </c>
      <c r="B838" s="3" t="s">
        <v>258</v>
      </c>
      <c r="C838" t="s">
        <v>857</v>
      </c>
      <c r="D838" t="s">
        <v>137</v>
      </c>
      <c r="E838" t="s">
        <v>242</v>
      </c>
      <c r="F838" t="s">
        <v>55</v>
      </c>
      <c r="G838" t="s">
        <v>98</v>
      </c>
      <c r="H838" t="s">
        <v>154</v>
      </c>
      <c r="I838" s="4">
        <v>4477.92</v>
      </c>
      <c r="J838">
        <v>4</v>
      </c>
      <c r="K838" s="2">
        <v>0.3</v>
      </c>
      <c r="L838" s="4">
        <v>-157.31</v>
      </c>
      <c r="M838" t="s">
        <v>38</v>
      </c>
      <c r="N838" t="s">
        <v>76</v>
      </c>
      <c r="O838">
        <f>YEAR(Table1[[#This Row],[Order Date]])</f>
        <v>2024</v>
      </c>
      <c r="P838" t="str">
        <f>TEXT(Table1[[#This Row],[Order Date]],"mmmm")</f>
        <v>September</v>
      </c>
      <c r="Q838" t="str">
        <f>TEXT(Table1[[#This Row],[Order Date]],"mm")</f>
        <v>09</v>
      </c>
      <c r="R838" s="2">
        <f>Table1[[#This Row],[Profit]]/Table1[[#This Row],[Sales]]</f>
        <v>-3.5130149712366457E-2</v>
      </c>
      <c r="S838" t="str">
        <f t="shared" si="13"/>
        <v>High (21-30%)</v>
      </c>
    </row>
    <row r="839" spans="1:19" x14ac:dyDescent="0.2">
      <c r="A839" t="s">
        <v>1624</v>
      </c>
      <c r="B839" s="3" t="s">
        <v>1114</v>
      </c>
      <c r="C839" t="s">
        <v>47</v>
      </c>
      <c r="D839" t="s">
        <v>137</v>
      </c>
      <c r="E839" t="s">
        <v>138</v>
      </c>
      <c r="F839" t="s">
        <v>67</v>
      </c>
      <c r="G839" t="s">
        <v>85</v>
      </c>
      <c r="H839" t="s">
        <v>125</v>
      </c>
      <c r="I839" s="4">
        <v>1707.72</v>
      </c>
      <c r="J839">
        <v>7</v>
      </c>
      <c r="K839" s="2">
        <v>0.3</v>
      </c>
      <c r="L839" s="4">
        <v>-98.61</v>
      </c>
      <c r="M839" t="s">
        <v>31</v>
      </c>
      <c r="N839" t="s">
        <v>39</v>
      </c>
      <c r="O839">
        <f>YEAR(Table1[[#This Row],[Order Date]])</f>
        <v>2025</v>
      </c>
      <c r="P839" t="str">
        <f>TEXT(Table1[[#This Row],[Order Date]],"mmmm")</f>
        <v>January</v>
      </c>
      <c r="Q839" t="str">
        <f>TEXT(Table1[[#This Row],[Order Date]],"mm")</f>
        <v>01</v>
      </c>
      <c r="R839" s="2">
        <f>Table1[[#This Row],[Profit]]/Table1[[#This Row],[Sales]]</f>
        <v>-5.7743658210947929E-2</v>
      </c>
      <c r="S839" t="str">
        <f t="shared" si="13"/>
        <v>High (21-30%)</v>
      </c>
    </row>
    <row r="840" spans="1:19" x14ac:dyDescent="0.2">
      <c r="A840" t="s">
        <v>1625</v>
      </c>
      <c r="B840" s="3" t="s">
        <v>1544</v>
      </c>
      <c r="C840" t="s">
        <v>1010</v>
      </c>
      <c r="D840" t="s">
        <v>17</v>
      </c>
      <c r="E840" t="s">
        <v>54</v>
      </c>
      <c r="F840" t="s">
        <v>19</v>
      </c>
      <c r="G840" t="s">
        <v>36</v>
      </c>
      <c r="H840" t="s">
        <v>37</v>
      </c>
      <c r="I840" s="4">
        <v>654.24</v>
      </c>
      <c r="J840">
        <v>8</v>
      </c>
      <c r="K840" s="2">
        <v>0.2</v>
      </c>
      <c r="L840" s="4">
        <v>71.89</v>
      </c>
      <c r="M840" t="s">
        <v>117</v>
      </c>
      <c r="N840" t="s">
        <v>32</v>
      </c>
      <c r="O840">
        <f>YEAR(Table1[[#This Row],[Order Date]])</f>
        <v>2024</v>
      </c>
      <c r="P840" t="str">
        <f>TEXT(Table1[[#This Row],[Order Date]],"mmmm")</f>
        <v>June</v>
      </c>
      <c r="Q840" t="str">
        <f>TEXT(Table1[[#This Row],[Order Date]],"mm")</f>
        <v>06</v>
      </c>
      <c r="R840" s="2">
        <f>Table1[[#This Row],[Profit]]/Table1[[#This Row],[Sales]]</f>
        <v>0.10988322328197603</v>
      </c>
      <c r="S840" t="str">
        <f t="shared" si="13"/>
        <v>Medium (11-20%)</v>
      </c>
    </row>
    <row r="841" spans="1:19" x14ac:dyDescent="0.2">
      <c r="A841" t="s">
        <v>1626</v>
      </c>
      <c r="B841" s="3" t="s">
        <v>1041</v>
      </c>
      <c r="C841" t="s">
        <v>551</v>
      </c>
      <c r="D841" t="s">
        <v>137</v>
      </c>
      <c r="E841" t="s">
        <v>138</v>
      </c>
      <c r="F841" t="s">
        <v>55</v>
      </c>
      <c r="G841" t="s">
        <v>56</v>
      </c>
      <c r="H841" t="s">
        <v>57</v>
      </c>
      <c r="I841" s="4">
        <v>1773.24</v>
      </c>
      <c r="J841">
        <v>7</v>
      </c>
      <c r="K841" s="2">
        <v>0.2</v>
      </c>
      <c r="L841" s="4">
        <v>323.05</v>
      </c>
      <c r="M841" t="s">
        <v>44</v>
      </c>
      <c r="N841" t="s">
        <v>23</v>
      </c>
      <c r="O841">
        <f>YEAR(Table1[[#This Row],[Order Date]])</f>
        <v>2025</v>
      </c>
      <c r="P841" t="str">
        <f>TEXT(Table1[[#This Row],[Order Date]],"mmmm")</f>
        <v>November</v>
      </c>
      <c r="Q841" t="str">
        <f>TEXT(Table1[[#This Row],[Order Date]],"mm")</f>
        <v>11</v>
      </c>
      <c r="R841" s="2">
        <f>Table1[[#This Row],[Profit]]/Table1[[#This Row],[Sales]]</f>
        <v>0.18218064108637297</v>
      </c>
      <c r="S841" t="str">
        <f t="shared" si="13"/>
        <v>Medium (11-20%)</v>
      </c>
    </row>
    <row r="842" spans="1:19" x14ac:dyDescent="0.2">
      <c r="A842" t="s">
        <v>1627</v>
      </c>
      <c r="B842" s="3" t="s">
        <v>1087</v>
      </c>
      <c r="C842" t="s">
        <v>319</v>
      </c>
      <c r="D842" t="s">
        <v>27</v>
      </c>
      <c r="E842" t="s">
        <v>28</v>
      </c>
      <c r="F842" t="s">
        <v>67</v>
      </c>
      <c r="G842" t="s">
        <v>85</v>
      </c>
      <c r="H842" t="s">
        <v>253</v>
      </c>
      <c r="I842" s="4">
        <v>3331.71</v>
      </c>
      <c r="J842">
        <v>9</v>
      </c>
      <c r="K842" s="2">
        <v>0.25</v>
      </c>
      <c r="L842" s="4">
        <v>22.04</v>
      </c>
      <c r="M842" t="s">
        <v>31</v>
      </c>
      <c r="N842" t="s">
        <v>76</v>
      </c>
      <c r="O842">
        <f>YEAR(Table1[[#This Row],[Order Date]])</f>
        <v>2024</v>
      </c>
      <c r="P842" t="str">
        <f>TEXT(Table1[[#This Row],[Order Date]],"mmmm")</f>
        <v>March</v>
      </c>
      <c r="Q842" t="str">
        <f>TEXT(Table1[[#This Row],[Order Date]],"mm")</f>
        <v>03</v>
      </c>
      <c r="R842" s="2">
        <f>Table1[[#This Row],[Profit]]/Table1[[#This Row],[Sales]]</f>
        <v>6.6152216129254943E-3</v>
      </c>
      <c r="S842" t="str">
        <f t="shared" si="13"/>
        <v>High (21-30%)</v>
      </c>
    </row>
    <row r="843" spans="1:19" x14ac:dyDescent="0.2">
      <c r="A843" t="s">
        <v>1628</v>
      </c>
      <c r="B843" s="3" t="s">
        <v>1629</v>
      </c>
      <c r="C843" t="s">
        <v>386</v>
      </c>
      <c r="D843" t="s">
        <v>17</v>
      </c>
      <c r="E843" t="s">
        <v>18</v>
      </c>
      <c r="F843" t="s">
        <v>67</v>
      </c>
      <c r="G843" t="s">
        <v>115</v>
      </c>
      <c r="H843" t="s">
        <v>116</v>
      </c>
      <c r="I843" s="4">
        <v>7307</v>
      </c>
      <c r="J843">
        <v>10</v>
      </c>
      <c r="K843" s="2">
        <v>0.05</v>
      </c>
      <c r="L843" s="4">
        <v>1901.19</v>
      </c>
      <c r="M843" t="s">
        <v>38</v>
      </c>
      <c r="N843" t="s">
        <v>23</v>
      </c>
      <c r="O843">
        <f>YEAR(Table1[[#This Row],[Order Date]])</f>
        <v>2024</v>
      </c>
      <c r="P843" t="str">
        <f>TEXT(Table1[[#This Row],[Order Date]],"mmmm")</f>
        <v>April</v>
      </c>
      <c r="Q843" t="str">
        <f>TEXT(Table1[[#This Row],[Order Date]],"mm")</f>
        <v>04</v>
      </c>
      <c r="R843" s="2">
        <f>Table1[[#This Row],[Profit]]/Table1[[#This Row],[Sales]]</f>
        <v>0.26018749144655812</v>
      </c>
      <c r="S843" t="str">
        <f t="shared" si="13"/>
        <v>Low (1-10%)</v>
      </c>
    </row>
    <row r="844" spans="1:19" x14ac:dyDescent="0.2">
      <c r="A844" t="s">
        <v>1630</v>
      </c>
      <c r="B844" s="3" t="s">
        <v>1558</v>
      </c>
      <c r="C844" t="s">
        <v>672</v>
      </c>
      <c r="D844" t="s">
        <v>137</v>
      </c>
      <c r="E844" t="s">
        <v>242</v>
      </c>
      <c r="F844" t="s">
        <v>55</v>
      </c>
      <c r="G844" t="s">
        <v>98</v>
      </c>
      <c r="H844" t="s">
        <v>150</v>
      </c>
      <c r="I844" s="4">
        <v>7940.61</v>
      </c>
      <c r="J844">
        <v>9</v>
      </c>
      <c r="K844" s="2">
        <v>0.15</v>
      </c>
      <c r="L844" s="4">
        <v>-12.86</v>
      </c>
      <c r="M844" t="s">
        <v>143</v>
      </c>
      <c r="N844" t="s">
        <v>76</v>
      </c>
      <c r="O844">
        <f>YEAR(Table1[[#This Row],[Order Date]])</f>
        <v>2024</v>
      </c>
      <c r="P844" t="str">
        <f>TEXT(Table1[[#This Row],[Order Date]],"mmmm")</f>
        <v>July</v>
      </c>
      <c r="Q844" t="str">
        <f>TEXT(Table1[[#This Row],[Order Date]],"mm")</f>
        <v>07</v>
      </c>
      <c r="R844" s="2">
        <f>Table1[[#This Row],[Profit]]/Table1[[#This Row],[Sales]]</f>
        <v>-1.619522933376655E-3</v>
      </c>
      <c r="S844" t="str">
        <f t="shared" si="13"/>
        <v>Medium (11-20%)</v>
      </c>
    </row>
    <row r="845" spans="1:19" x14ac:dyDescent="0.2">
      <c r="A845" t="s">
        <v>1631</v>
      </c>
      <c r="B845" s="3" t="s">
        <v>1599</v>
      </c>
      <c r="C845" t="s">
        <v>818</v>
      </c>
      <c r="D845" t="s">
        <v>17</v>
      </c>
      <c r="E845" t="s">
        <v>54</v>
      </c>
      <c r="F845" t="s">
        <v>55</v>
      </c>
      <c r="G845" t="s">
        <v>56</v>
      </c>
      <c r="H845" t="s">
        <v>129</v>
      </c>
      <c r="I845" s="4">
        <v>3759.35</v>
      </c>
      <c r="J845">
        <v>7</v>
      </c>
      <c r="K845" s="2">
        <v>0.05</v>
      </c>
      <c r="L845" s="4">
        <v>994.65</v>
      </c>
      <c r="M845" t="s">
        <v>143</v>
      </c>
      <c r="N845" t="s">
        <v>32</v>
      </c>
      <c r="O845">
        <f>YEAR(Table1[[#This Row],[Order Date]])</f>
        <v>2025</v>
      </c>
      <c r="P845" t="str">
        <f>TEXT(Table1[[#This Row],[Order Date]],"mmmm")</f>
        <v>July</v>
      </c>
      <c r="Q845" t="str">
        <f>TEXT(Table1[[#This Row],[Order Date]],"mm")</f>
        <v>07</v>
      </c>
      <c r="R845" s="2">
        <f>Table1[[#This Row],[Profit]]/Table1[[#This Row],[Sales]]</f>
        <v>0.2645803130860388</v>
      </c>
      <c r="S845" t="str">
        <f t="shared" si="13"/>
        <v>Low (1-10%)</v>
      </c>
    </row>
    <row r="846" spans="1:19" x14ac:dyDescent="0.2">
      <c r="A846" t="s">
        <v>1632</v>
      </c>
      <c r="B846" s="3" t="s">
        <v>1459</v>
      </c>
      <c r="C846" t="s">
        <v>268</v>
      </c>
      <c r="D846" t="s">
        <v>48</v>
      </c>
      <c r="E846" t="s">
        <v>110</v>
      </c>
      <c r="F846" t="s">
        <v>67</v>
      </c>
      <c r="G846" t="s">
        <v>85</v>
      </c>
      <c r="H846" t="s">
        <v>86</v>
      </c>
      <c r="I846" s="4">
        <v>944.52</v>
      </c>
      <c r="J846">
        <v>2</v>
      </c>
      <c r="K846" s="2">
        <v>0.05</v>
      </c>
      <c r="L846" s="4">
        <v>199.34</v>
      </c>
      <c r="M846" t="s">
        <v>195</v>
      </c>
      <c r="N846" t="s">
        <v>23</v>
      </c>
      <c r="O846">
        <f>YEAR(Table1[[#This Row],[Order Date]])</f>
        <v>2024</v>
      </c>
      <c r="P846" t="str">
        <f>TEXT(Table1[[#This Row],[Order Date]],"mmmm")</f>
        <v>September</v>
      </c>
      <c r="Q846" t="str">
        <f>TEXT(Table1[[#This Row],[Order Date]],"mm")</f>
        <v>09</v>
      </c>
      <c r="R846" s="2">
        <f>Table1[[#This Row],[Profit]]/Table1[[#This Row],[Sales]]</f>
        <v>0.21104899843306654</v>
      </c>
      <c r="S846" t="str">
        <f t="shared" si="13"/>
        <v>Low (1-10%)</v>
      </c>
    </row>
    <row r="847" spans="1:19" x14ac:dyDescent="0.2">
      <c r="A847" t="s">
        <v>1633</v>
      </c>
      <c r="B847" s="3" t="s">
        <v>1634</v>
      </c>
      <c r="C847" t="s">
        <v>556</v>
      </c>
      <c r="D847" t="s">
        <v>17</v>
      </c>
      <c r="E847" t="s">
        <v>54</v>
      </c>
      <c r="F847" t="s">
        <v>19</v>
      </c>
      <c r="G847" t="s">
        <v>29</v>
      </c>
      <c r="H847" t="s">
        <v>199</v>
      </c>
      <c r="I847" s="4">
        <v>1241.8399999999999</v>
      </c>
      <c r="J847">
        <v>8</v>
      </c>
      <c r="K847" s="2">
        <v>0</v>
      </c>
      <c r="L847" s="4">
        <v>353.57</v>
      </c>
      <c r="M847" t="s">
        <v>87</v>
      </c>
      <c r="N847" t="s">
        <v>39</v>
      </c>
      <c r="O847">
        <f>YEAR(Table1[[#This Row],[Order Date]])</f>
        <v>2024</v>
      </c>
      <c r="P847" t="str">
        <f>TEXT(Table1[[#This Row],[Order Date]],"mmmm")</f>
        <v>May</v>
      </c>
      <c r="Q847" t="str">
        <f>TEXT(Table1[[#This Row],[Order Date]],"mm")</f>
        <v>05</v>
      </c>
      <c r="R847" s="2">
        <f>Table1[[#This Row],[Profit]]/Table1[[#This Row],[Sales]]</f>
        <v>0.28471461701990597</v>
      </c>
      <c r="S847" t="str">
        <f t="shared" si="13"/>
        <v>No Discount</v>
      </c>
    </row>
    <row r="848" spans="1:19" x14ac:dyDescent="0.2">
      <c r="A848" t="s">
        <v>1635</v>
      </c>
      <c r="B848" s="3" t="s">
        <v>1636</v>
      </c>
      <c r="C848" t="s">
        <v>491</v>
      </c>
      <c r="D848" t="s">
        <v>27</v>
      </c>
      <c r="E848" t="s">
        <v>61</v>
      </c>
      <c r="F848" t="s">
        <v>19</v>
      </c>
      <c r="G848" t="s">
        <v>29</v>
      </c>
      <c r="H848" t="s">
        <v>50</v>
      </c>
      <c r="I848" s="4">
        <v>1029.92</v>
      </c>
      <c r="J848">
        <v>4</v>
      </c>
      <c r="K848" s="2">
        <v>0.25</v>
      </c>
      <c r="L848" s="4">
        <v>78.48</v>
      </c>
      <c r="M848" t="s">
        <v>31</v>
      </c>
      <c r="N848" t="s">
        <v>23</v>
      </c>
      <c r="O848">
        <f>YEAR(Table1[[#This Row],[Order Date]])</f>
        <v>2024</v>
      </c>
      <c r="P848" t="str">
        <f>TEXT(Table1[[#This Row],[Order Date]],"mmmm")</f>
        <v>August</v>
      </c>
      <c r="Q848" t="str">
        <f>TEXT(Table1[[#This Row],[Order Date]],"mm")</f>
        <v>08</v>
      </c>
      <c r="R848" s="2">
        <f>Table1[[#This Row],[Profit]]/Table1[[#This Row],[Sales]]</f>
        <v>7.6200093211123199E-2</v>
      </c>
      <c r="S848" t="str">
        <f t="shared" si="13"/>
        <v>High (21-30%)</v>
      </c>
    </row>
    <row r="849" spans="1:19" x14ac:dyDescent="0.2">
      <c r="A849" t="s">
        <v>1637</v>
      </c>
      <c r="B849" s="3" t="s">
        <v>1030</v>
      </c>
      <c r="C849" t="s">
        <v>450</v>
      </c>
      <c r="D849" t="s">
        <v>17</v>
      </c>
      <c r="E849" t="s">
        <v>54</v>
      </c>
      <c r="F849" t="s">
        <v>19</v>
      </c>
      <c r="G849" t="s">
        <v>36</v>
      </c>
      <c r="H849" t="s">
        <v>222</v>
      </c>
      <c r="I849" s="4">
        <v>8183.9</v>
      </c>
      <c r="J849">
        <v>10</v>
      </c>
      <c r="K849" s="2">
        <v>0.2</v>
      </c>
      <c r="L849" s="4">
        <v>813.93</v>
      </c>
      <c r="M849" t="s">
        <v>44</v>
      </c>
      <c r="N849" t="s">
        <v>76</v>
      </c>
      <c r="O849">
        <f>YEAR(Table1[[#This Row],[Order Date]])</f>
        <v>2024</v>
      </c>
      <c r="P849" t="str">
        <f>TEXT(Table1[[#This Row],[Order Date]],"mmmm")</f>
        <v>January</v>
      </c>
      <c r="Q849" t="str">
        <f>TEXT(Table1[[#This Row],[Order Date]],"mm")</f>
        <v>01</v>
      </c>
      <c r="R849" s="2">
        <f>Table1[[#This Row],[Profit]]/Table1[[#This Row],[Sales]]</f>
        <v>9.9455027554100128E-2</v>
      </c>
      <c r="S849" t="str">
        <f t="shared" si="13"/>
        <v>Medium (11-20%)</v>
      </c>
    </row>
    <row r="850" spans="1:19" x14ac:dyDescent="0.2">
      <c r="A850" t="s">
        <v>1638</v>
      </c>
      <c r="B850" s="3" t="s">
        <v>1639</v>
      </c>
      <c r="C850" t="s">
        <v>294</v>
      </c>
      <c r="D850" t="s">
        <v>137</v>
      </c>
      <c r="E850" t="s">
        <v>242</v>
      </c>
      <c r="F850" t="s">
        <v>55</v>
      </c>
      <c r="G850" t="s">
        <v>56</v>
      </c>
      <c r="H850" t="s">
        <v>62</v>
      </c>
      <c r="I850" s="4">
        <v>197.6</v>
      </c>
      <c r="J850">
        <v>5</v>
      </c>
      <c r="K850" s="2">
        <v>0.15</v>
      </c>
      <c r="L850" s="4">
        <v>13.35</v>
      </c>
      <c r="M850" t="s">
        <v>87</v>
      </c>
      <c r="N850" t="s">
        <v>76</v>
      </c>
      <c r="O850">
        <f>YEAR(Table1[[#This Row],[Order Date]])</f>
        <v>2024</v>
      </c>
      <c r="P850" t="str">
        <f>TEXT(Table1[[#This Row],[Order Date]],"mmmm")</f>
        <v>January</v>
      </c>
      <c r="Q850" t="str">
        <f>TEXT(Table1[[#This Row],[Order Date]],"mm")</f>
        <v>01</v>
      </c>
      <c r="R850" s="2">
        <f>Table1[[#This Row],[Profit]]/Table1[[#This Row],[Sales]]</f>
        <v>6.7560728744939277E-2</v>
      </c>
      <c r="S850" t="str">
        <f t="shared" si="13"/>
        <v>Medium (11-20%)</v>
      </c>
    </row>
    <row r="851" spans="1:19" x14ac:dyDescent="0.2">
      <c r="A851" t="s">
        <v>1640</v>
      </c>
      <c r="B851" s="3" t="s">
        <v>729</v>
      </c>
      <c r="C851" t="s">
        <v>498</v>
      </c>
      <c r="D851" t="s">
        <v>137</v>
      </c>
      <c r="E851" t="s">
        <v>142</v>
      </c>
      <c r="F851" t="s">
        <v>55</v>
      </c>
      <c r="G851" t="s">
        <v>56</v>
      </c>
      <c r="H851" t="s">
        <v>57</v>
      </c>
      <c r="I851" s="4">
        <v>7506.2</v>
      </c>
      <c r="J851">
        <v>10</v>
      </c>
      <c r="K851" s="2">
        <v>0.05</v>
      </c>
      <c r="L851" s="4">
        <v>2725.17</v>
      </c>
      <c r="M851" t="s">
        <v>195</v>
      </c>
      <c r="N851" t="s">
        <v>39</v>
      </c>
      <c r="O851">
        <f>YEAR(Table1[[#This Row],[Order Date]])</f>
        <v>2025</v>
      </c>
      <c r="P851" t="str">
        <f>TEXT(Table1[[#This Row],[Order Date]],"mmmm")</f>
        <v>January</v>
      </c>
      <c r="Q851" t="str">
        <f>TEXT(Table1[[#This Row],[Order Date]],"mm")</f>
        <v>01</v>
      </c>
      <c r="R851" s="2">
        <f>Table1[[#This Row],[Profit]]/Table1[[#This Row],[Sales]]</f>
        <v>0.36305587381098292</v>
      </c>
      <c r="S851" t="str">
        <f t="shared" si="13"/>
        <v>Low (1-10%)</v>
      </c>
    </row>
    <row r="852" spans="1:19" x14ac:dyDescent="0.2">
      <c r="A852" t="s">
        <v>1641</v>
      </c>
      <c r="B852" s="3" t="s">
        <v>410</v>
      </c>
      <c r="C852" t="s">
        <v>252</v>
      </c>
      <c r="D852" t="s">
        <v>137</v>
      </c>
      <c r="E852" t="s">
        <v>138</v>
      </c>
      <c r="F852" t="s">
        <v>67</v>
      </c>
      <c r="G852" t="s">
        <v>85</v>
      </c>
      <c r="H852" t="s">
        <v>125</v>
      </c>
      <c r="I852" s="4">
        <v>3743.2</v>
      </c>
      <c r="J852">
        <v>8</v>
      </c>
      <c r="K852" s="2">
        <v>0</v>
      </c>
      <c r="L852" s="4">
        <v>309.26</v>
      </c>
      <c r="M852" t="s">
        <v>31</v>
      </c>
      <c r="N852" t="s">
        <v>76</v>
      </c>
      <c r="O852">
        <f>YEAR(Table1[[#This Row],[Order Date]])</f>
        <v>2024</v>
      </c>
      <c r="P852" t="str">
        <f>TEXT(Table1[[#This Row],[Order Date]],"mmmm")</f>
        <v>May</v>
      </c>
      <c r="Q852" t="str">
        <f>TEXT(Table1[[#This Row],[Order Date]],"mm")</f>
        <v>05</v>
      </c>
      <c r="R852" s="2">
        <f>Table1[[#This Row],[Profit]]/Table1[[#This Row],[Sales]]</f>
        <v>8.2619149390895485E-2</v>
      </c>
      <c r="S852" t="str">
        <f t="shared" si="13"/>
        <v>No Discount</v>
      </c>
    </row>
    <row r="853" spans="1:19" x14ac:dyDescent="0.2">
      <c r="A853" t="s">
        <v>1642</v>
      </c>
      <c r="B853" s="3" t="s">
        <v>270</v>
      </c>
      <c r="C853" t="s">
        <v>186</v>
      </c>
      <c r="D853" t="s">
        <v>27</v>
      </c>
      <c r="E853" t="s">
        <v>124</v>
      </c>
      <c r="F853" t="s">
        <v>67</v>
      </c>
      <c r="G853" t="s">
        <v>68</v>
      </c>
      <c r="H853" t="s">
        <v>103</v>
      </c>
      <c r="I853" s="4">
        <v>98.85</v>
      </c>
      <c r="J853">
        <v>1</v>
      </c>
      <c r="K853" s="2">
        <v>0.1</v>
      </c>
      <c r="L853" s="4">
        <v>5.58</v>
      </c>
      <c r="M853" t="s">
        <v>143</v>
      </c>
      <c r="N853" t="s">
        <v>23</v>
      </c>
      <c r="O853">
        <f>YEAR(Table1[[#This Row],[Order Date]])</f>
        <v>2025</v>
      </c>
      <c r="P853" t="str">
        <f>TEXT(Table1[[#This Row],[Order Date]],"mmmm")</f>
        <v>February</v>
      </c>
      <c r="Q853" t="str">
        <f>TEXT(Table1[[#This Row],[Order Date]],"mm")</f>
        <v>02</v>
      </c>
      <c r="R853" s="2">
        <f>Table1[[#This Row],[Profit]]/Table1[[#This Row],[Sales]]</f>
        <v>5.6449165402124434E-2</v>
      </c>
      <c r="S853" t="str">
        <f t="shared" si="13"/>
        <v>Low (1-10%)</v>
      </c>
    </row>
    <row r="854" spans="1:19" x14ac:dyDescent="0.2">
      <c r="A854" t="s">
        <v>1643</v>
      </c>
      <c r="B854" s="3" t="s">
        <v>1644</v>
      </c>
      <c r="C854" t="s">
        <v>421</v>
      </c>
      <c r="D854" t="s">
        <v>27</v>
      </c>
      <c r="E854" t="s">
        <v>61</v>
      </c>
      <c r="F854" t="s">
        <v>55</v>
      </c>
      <c r="G854" t="s">
        <v>98</v>
      </c>
      <c r="H854" t="s">
        <v>154</v>
      </c>
      <c r="I854" s="4">
        <v>957.84</v>
      </c>
      <c r="J854">
        <v>4</v>
      </c>
      <c r="K854" s="2">
        <v>0</v>
      </c>
      <c r="L854" s="4">
        <v>410.47</v>
      </c>
      <c r="M854" t="s">
        <v>31</v>
      </c>
      <c r="N854" t="s">
        <v>32</v>
      </c>
      <c r="O854">
        <f>YEAR(Table1[[#This Row],[Order Date]])</f>
        <v>2025</v>
      </c>
      <c r="P854" t="str">
        <f>TEXT(Table1[[#This Row],[Order Date]],"mmmm")</f>
        <v>February</v>
      </c>
      <c r="Q854" t="str">
        <f>TEXT(Table1[[#This Row],[Order Date]],"mm")</f>
        <v>02</v>
      </c>
      <c r="R854" s="2">
        <f>Table1[[#This Row],[Profit]]/Table1[[#This Row],[Sales]]</f>
        <v>0.42853712519836301</v>
      </c>
      <c r="S854" t="str">
        <f t="shared" si="13"/>
        <v>No Discount</v>
      </c>
    </row>
    <row r="855" spans="1:19" x14ac:dyDescent="0.2">
      <c r="A855" t="s">
        <v>1645</v>
      </c>
      <c r="B855" s="3" t="s">
        <v>1629</v>
      </c>
      <c r="C855" t="s">
        <v>1646</v>
      </c>
      <c r="D855" t="s">
        <v>27</v>
      </c>
      <c r="E855" t="s">
        <v>43</v>
      </c>
      <c r="F855" t="s">
        <v>67</v>
      </c>
      <c r="G855" t="s">
        <v>115</v>
      </c>
      <c r="H855" t="s">
        <v>116</v>
      </c>
      <c r="I855" s="4">
        <v>2248.88</v>
      </c>
      <c r="J855">
        <v>4</v>
      </c>
      <c r="K855" s="2">
        <v>0.3</v>
      </c>
      <c r="L855" s="4">
        <v>275.36</v>
      </c>
      <c r="M855" t="s">
        <v>38</v>
      </c>
      <c r="N855" t="s">
        <v>32</v>
      </c>
      <c r="O855">
        <f>YEAR(Table1[[#This Row],[Order Date]])</f>
        <v>2024</v>
      </c>
      <c r="P855" t="str">
        <f>TEXT(Table1[[#This Row],[Order Date]],"mmmm")</f>
        <v>April</v>
      </c>
      <c r="Q855" t="str">
        <f>TEXT(Table1[[#This Row],[Order Date]],"mm")</f>
        <v>04</v>
      </c>
      <c r="R855" s="2">
        <f>Table1[[#This Row],[Profit]]/Table1[[#This Row],[Sales]]</f>
        <v>0.12244317171214116</v>
      </c>
      <c r="S855" t="str">
        <f t="shared" si="13"/>
        <v>High (21-30%)</v>
      </c>
    </row>
    <row r="856" spans="1:19" x14ac:dyDescent="0.2">
      <c r="A856" t="s">
        <v>1647</v>
      </c>
      <c r="B856" s="3" t="s">
        <v>274</v>
      </c>
      <c r="C856" t="s">
        <v>1101</v>
      </c>
      <c r="D856" t="s">
        <v>137</v>
      </c>
      <c r="E856" t="s">
        <v>142</v>
      </c>
      <c r="F856" t="s">
        <v>55</v>
      </c>
      <c r="G856" t="s">
        <v>98</v>
      </c>
      <c r="H856" t="s">
        <v>154</v>
      </c>
      <c r="I856" s="4">
        <v>5842.53</v>
      </c>
      <c r="J856">
        <v>9</v>
      </c>
      <c r="K856" s="2">
        <v>0.2</v>
      </c>
      <c r="L856" s="4">
        <v>1263.68</v>
      </c>
      <c r="M856" t="s">
        <v>22</v>
      </c>
      <c r="N856" t="s">
        <v>32</v>
      </c>
      <c r="O856">
        <f>YEAR(Table1[[#This Row],[Order Date]])</f>
        <v>2024</v>
      </c>
      <c r="P856" t="str">
        <f>TEXT(Table1[[#This Row],[Order Date]],"mmmm")</f>
        <v>November</v>
      </c>
      <c r="Q856" t="str">
        <f>TEXT(Table1[[#This Row],[Order Date]],"mm")</f>
        <v>11</v>
      </c>
      <c r="R856" s="2">
        <f>Table1[[#This Row],[Profit]]/Table1[[#This Row],[Sales]]</f>
        <v>0.21628986072814349</v>
      </c>
      <c r="S856" t="str">
        <f t="shared" si="13"/>
        <v>Medium (11-20%)</v>
      </c>
    </row>
    <row r="857" spans="1:19" x14ac:dyDescent="0.2">
      <c r="A857" t="s">
        <v>1648</v>
      </c>
      <c r="B857" s="3" t="s">
        <v>1644</v>
      </c>
      <c r="C857" t="s">
        <v>153</v>
      </c>
      <c r="D857" t="s">
        <v>137</v>
      </c>
      <c r="E857" t="s">
        <v>160</v>
      </c>
      <c r="F857" t="s">
        <v>55</v>
      </c>
      <c r="G857" t="s">
        <v>98</v>
      </c>
      <c r="H857" t="s">
        <v>154</v>
      </c>
      <c r="I857" s="4">
        <v>1157.72</v>
      </c>
      <c r="J857">
        <v>2</v>
      </c>
      <c r="K857" s="2">
        <v>0.1</v>
      </c>
      <c r="L857" s="4">
        <v>9.83</v>
      </c>
      <c r="M857" t="s">
        <v>63</v>
      </c>
      <c r="N857" t="s">
        <v>23</v>
      </c>
      <c r="O857">
        <f>YEAR(Table1[[#This Row],[Order Date]])</f>
        <v>2025</v>
      </c>
      <c r="P857" t="str">
        <f>TEXT(Table1[[#This Row],[Order Date]],"mmmm")</f>
        <v>February</v>
      </c>
      <c r="Q857" t="str">
        <f>TEXT(Table1[[#This Row],[Order Date]],"mm")</f>
        <v>02</v>
      </c>
      <c r="R857" s="2">
        <f>Table1[[#This Row],[Profit]]/Table1[[#This Row],[Sales]]</f>
        <v>8.4908267974985307E-3</v>
      </c>
      <c r="S857" t="str">
        <f t="shared" si="13"/>
        <v>Low (1-10%)</v>
      </c>
    </row>
    <row r="858" spans="1:19" x14ac:dyDescent="0.2">
      <c r="A858" t="s">
        <v>1649</v>
      </c>
      <c r="B858" s="3" t="s">
        <v>1650</v>
      </c>
      <c r="C858" t="s">
        <v>289</v>
      </c>
      <c r="D858" t="s">
        <v>137</v>
      </c>
      <c r="E858" t="s">
        <v>160</v>
      </c>
      <c r="F858" t="s">
        <v>55</v>
      </c>
      <c r="G858" t="s">
        <v>74</v>
      </c>
      <c r="H858" t="s">
        <v>75</v>
      </c>
      <c r="I858" s="4">
        <v>1275.8800000000001</v>
      </c>
      <c r="J858">
        <v>4</v>
      </c>
      <c r="K858" s="2">
        <v>0.25</v>
      </c>
      <c r="L858" s="4">
        <v>4.3899999999999997</v>
      </c>
      <c r="M858" t="s">
        <v>107</v>
      </c>
      <c r="N858" t="s">
        <v>39</v>
      </c>
      <c r="O858">
        <f>YEAR(Table1[[#This Row],[Order Date]])</f>
        <v>2025</v>
      </c>
      <c r="P858" t="str">
        <f>TEXT(Table1[[#This Row],[Order Date]],"mmmm")</f>
        <v>February</v>
      </c>
      <c r="Q858" t="str">
        <f>TEXT(Table1[[#This Row],[Order Date]],"mm")</f>
        <v>02</v>
      </c>
      <c r="R858" s="2">
        <f>Table1[[#This Row],[Profit]]/Table1[[#This Row],[Sales]]</f>
        <v>3.4407624541492924E-3</v>
      </c>
      <c r="S858" t="str">
        <f t="shared" si="13"/>
        <v>High (21-30%)</v>
      </c>
    </row>
    <row r="859" spans="1:19" x14ac:dyDescent="0.2">
      <c r="A859" t="s">
        <v>1651</v>
      </c>
      <c r="B859" s="3" t="s">
        <v>1280</v>
      </c>
      <c r="C859" t="s">
        <v>215</v>
      </c>
      <c r="D859" t="s">
        <v>48</v>
      </c>
      <c r="E859" t="s">
        <v>84</v>
      </c>
      <c r="F859" t="s">
        <v>19</v>
      </c>
      <c r="G859" t="s">
        <v>36</v>
      </c>
      <c r="H859" t="s">
        <v>37</v>
      </c>
      <c r="I859" s="4">
        <v>647.45000000000005</v>
      </c>
      <c r="J859">
        <v>5</v>
      </c>
      <c r="K859" s="2">
        <v>0.1</v>
      </c>
      <c r="L859" s="4">
        <v>108.02</v>
      </c>
      <c r="M859" t="s">
        <v>87</v>
      </c>
      <c r="N859" t="s">
        <v>23</v>
      </c>
      <c r="O859">
        <f>YEAR(Table1[[#This Row],[Order Date]])</f>
        <v>2025</v>
      </c>
      <c r="P859" t="str">
        <f>TEXT(Table1[[#This Row],[Order Date]],"mmmm")</f>
        <v>May</v>
      </c>
      <c r="Q859" t="str">
        <f>TEXT(Table1[[#This Row],[Order Date]],"mm")</f>
        <v>05</v>
      </c>
      <c r="R859" s="2">
        <f>Table1[[#This Row],[Profit]]/Table1[[#This Row],[Sales]]</f>
        <v>0.16683913815738666</v>
      </c>
      <c r="S859" t="str">
        <f t="shared" si="13"/>
        <v>Low (1-10%)</v>
      </c>
    </row>
    <row r="860" spans="1:19" x14ac:dyDescent="0.2">
      <c r="A860" t="s">
        <v>1652</v>
      </c>
      <c r="B860" s="3" t="s">
        <v>1653</v>
      </c>
      <c r="C860" t="s">
        <v>60</v>
      </c>
      <c r="D860" t="s">
        <v>17</v>
      </c>
      <c r="E860" t="s">
        <v>97</v>
      </c>
      <c r="F860" t="s">
        <v>55</v>
      </c>
      <c r="G860" t="s">
        <v>74</v>
      </c>
      <c r="H860" t="s">
        <v>133</v>
      </c>
      <c r="I860" s="4">
        <v>2813.64</v>
      </c>
      <c r="J860">
        <v>3</v>
      </c>
      <c r="K860" s="2">
        <v>0.15</v>
      </c>
      <c r="L860" s="4">
        <v>755.31</v>
      </c>
      <c r="M860" t="s">
        <v>143</v>
      </c>
      <c r="N860" t="s">
        <v>23</v>
      </c>
      <c r="O860">
        <f>YEAR(Table1[[#This Row],[Order Date]])</f>
        <v>2025</v>
      </c>
      <c r="P860" t="str">
        <f>TEXT(Table1[[#This Row],[Order Date]],"mmmm")</f>
        <v>June</v>
      </c>
      <c r="Q860" t="str">
        <f>TEXT(Table1[[#This Row],[Order Date]],"mm")</f>
        <v>06</v>
      </c>
      <c r="R860" s="2">
        <f>Table1[[#This Row],[Profit]]/Table1[[#This Row],[Sales]]</f>
        <v>0.2684458566127863</v>
      </c>
      <c r="S860" t="str">
        <f t="shared" si="13"/>
        <v>Medium (11-20%)</v>
      </c>
    </row>
    <row r="861" spans="1:19" x14ac:dyDescent="0.2">
      <c r="A861" t="s">
        <v>1654</v>
      </c>
      <c r="B861" s="3" t="s">
        <v>570</v>
      </c>
      <c r="C861" t="s">
        <v>966</v>
      </c>
      <c r="D861" t="s">
        <v>48</v>
      </c>
      <c r="E861" t="s">
        <v>110</v>
      </c>
      <c r="F861" t="s">
        <v>19</v>
      </c>
      <c r="G861" t="s">
        <v>29</v>
      </c>
      <c r="H861" t="s">
        <v>199</v>
      </c>
      <c r="I861" s="4">
        <v>4077.64</v>
      </c>
      <c r="J861">
        <v>4</v>
      </c>
      <c r="K861" s="2">
        <v>0.3</v>
      </c>
      <c r="L861" s="4">
        <v>300.8</v>
      </c>
      <c r="M861" t="s">
        <v>63</v>
      </c>
      <c r="N861" t="s">
        <v>39</v>
      </c>
      <c r="O861">
        <f>YEAR(Table1[[#This Row],[Order Date]])</f>
        <v>2025</v>
      </c>
      <c r="P861" t="str">
        <f>TEXT(Table1[[#This Row],[Order Date]],"mmmm")</f>
        <v>March</v>
      </c>
      <c r="Q861" t="str">
        <f>TEXT(Table1[[#This Row],[Order Date]],"mm")</f>
        <v>03</v>
      </c>
      <c r="R861" s="2">
        <f>Table1[[#This Row],[Profit]]/Table1[[#This Row],[Sales]]</f>
        <v>7.3768160014125825E-2</v>
      </c>
      <c r="S861" t="str">
        <f t="shared" si="13"/>
        <v>High (21-30%)</v>
      </c>
    </row>
    <row r="862" spans="1:19" x14ac:dyDescent="0.2">
      <c r="A862" t="s">
        <v>1655</v>
      </c>
      <c r="B862" s="3" t="s">
        <v>454</v>
      </c>
      <c r="C862" t="s">
        <v>225</v>
      </c>
      <c r="D862" t="s">
        <v>27</v>
      </c>
      <c r="E862" t="s">
        <v>124</v>
      </c>
      <c r="F862" t="s">
        <v>55</v>
      </c>
      <c r="G862" t="s">
        <v>98</v>
      </c>
      <c r="H862" t="s">
        <v>154</v>
      </c>
      <c r="I862" s="4">
        <v>257.16000000000003</v>
      </c>
      <c r="J862">
        <v>2</v>
      </c>
      <c r="K862" s="2">
        <v>0.25</v>
      </c>
      <c r="L862" s="4">
        <v>34.380000000000003</v>
      </c>
      <c r="M862" t="s">
        <v>44</v>
      </c>
      <c r="N862" t="s">
        <v>39</v>
      </c>
      <c r="O862">
        <f>YEAR(Table1[[#This Row],[Order Date]])</f>
        <v>2025</v>
      </c>
      <c r="P862" t="str">
        <f>TEXT(Table1[[#This Row],[Order Date]],"mmmm")</f>
        <v>June</v>
      </c>
      <c r="Q862" t="str">
        <f>TEXT(Table1[[#This Row],[Order Date]],"mm")</f>
        <v>06</v>
      </c>
      <c r="R862" s="2">
        <f>Table1[[#This Row],[Profit]]/Table1[[#This Row],[Sales]]</f>
        <v>0.13369108726084927</v>
      </c>
      <c r="S862" t="str">
        <f t="shared" si="13"/>
        <v>High (21-30%)</v>
      </c>
    </row>
    <row r="863" spans="1:19" x14ac:dyDescent="0.2">
      <c r="A863" t="s">
        <v>1656</v>
      </c>
      <c r="B863" s="3" t="s">
        <v>1657</v>
      </c>
      <c r="C863" t="s">
        <v>652</v>
      </c>
      <c r="D863" t="s">
        <v>17</v>
      </c>
      <c r="E863" t="s">
        <v>18</v>
      </c>
      <c r="F863" t="s">
        <v>19</v>
      </c>
      <c r="G863" t="s">
        <v>36</v>
      </c>
      <c r="H863" t="s">
        <v>111</v>
      </c>
      <c r="I863" s="4">
        <v>2612.6799999999998</v>
      </c>
      <c r="J863">
        <v>7</v>
      </c>
      <c r="K863" s="2">
        <v>0.05</v>
      </c>
      <c r="L863" s="4">
        <v>644.63</v>
      </c>
      <c r="M863" t="s">
        <v>87</v>
      </c>
      <c r="N863" t="s">
        <v>39</v>
      </c>
      <c r="O863">
        <f>YEAR(Table1[[#This Row],[Order Date]])</f>
        <v>2024</v>
      </c>
      <c r="P863" t="str">
        <f>TEXT(Table1[[#This Row],[Order Date]],"mmmm")</f>
        <v>April</v>
      </c>
      <c r="Q863" t="str">
        <f>TEXT(Table1[[#This Row],[Order Date]],"mm")</f>
        <v>04</v>
      </c>
      <c r="R863" s="2">
        <f>Table1[[#This Row],[Profit]]/Table1[[#This Row],[Sales]]</f>
        <v>0.24673132568856501</v>
      </c>
      <c r="S863" t="str">
        <f t="shared" si="13"/>
        <v>Low (1-10%)</v>
      </c>
    </row>
    <row r="864" spans="1:19" x14ac:dyDescent="0.2">
      <c r="A864" t="s">
        <v>1658</v>
      </c>
      <c r="B864" s="3" t="s">
        <v>1659</v>
      </c>
      <c r="C864" t="s">
        <v>289</v>
      </c>
      <c r="D864" t="s">
        <v>48</v>
      </c>
      <c r="E864" t="s">
        <v>84</v>
      </c>
      <c r="F864" t="s">
        <v>55</v>
      </c>
      <c r="G864" t="s">
        <v>56</v>
      </c>
      <c r="H864" t="s">
        <v>62</v>
      </c>
      <c r="I864" s="4">
        <v>7800.03</v>
      </c>
      <c r="J864">
        <v>9</v>
      </c>
      <c r="K864" s="2">
        <v>0.2</v>
      </c>
      <c r="L864" s="4">
        <v>779.98</v>
      </c>
      <c r="M864" t="s">
        <v>107</v>
      </c>
      <c r="N864" t="s">
        <v>32</v>
      </c>
      <c r="O864">
        <f>YEAR(Table1[[#This Row],[Order Date]])</f>
        <v>2025</v>
      </c>
      <c r="P864" t="str">
        <f>TEXT(Table1[[#This Row],[Order Date]],"mmmm")</f>
        <v>October</v>
      </c>
      <c r="Q864" t="str">
        <f>TEXT(Table1[[#This Row],[Order Date]],"mm")</f>
        <v>10</v>
      </c>
      <c r="R864" s="2">
        <f>Table1[[#This Row],[Profit]]/Table1[[#This Row],[Sales]]</f>
        <v>9.9997051293392467E-2</v>
      </c>
      <c r="S864" t="str">
        <f t="shared" si="13"/>
        <v>Medium (11-20%)</v>
      </c>
    </row>
    <row r="865" spans="1:19" x14ac:dyDescent="0.2">
      <c r="A865" t="s">
        <v>1660</v>
      </c>
      <c r="B865" s="3" t="s">
        <v>1168</v>
      </c>
      <c r="C865" t="s">
        <v>128</v>
      </c>
      <c r="D865" t="s">
        <v>137</v>
      </c>
      <c r="E865" t="s">
        <v>138</v>
      </c>
      <c r="F865" t="s">
        <v>67</v>
      </c>
      <c r="G865" t="s">
        <v>68</v>
      </c>
      <c r="H865" t="s">
        <v>69</v>
      </c>
      <c r="I865" s="4">
        <v>4922.75</v>
      </c>
      <c r="J865">
        <v>7</v>
      </c>
      <c r="K865" s="2">
        <v>0.05</v>
      </c>
      <c r="L865" s="4">
        <v>795.79</v>
      </c>
      <c r="M865" t="s">
        <v>31</v>
      </c>
      <c r="N865" t="s">
        <v>76</v>
      </c>
      <c r="O865">
        <f>YEAR(Table1[[#This Row],[Order Date]])</f>
        <v>2025</v>
      </c>
      <c r="P865" t="str">
        <f>TEXT(Table1[[#This Row],[Order Date]],"mmmm")</f>
        <v>March</v>
      </c>
      <c r="Q865" t="str">
        <f>TEXT(Table1[[#This Row],[Order Date]],"mm")</f>
        <v>03</v>
      </c>
      <c r="R865" s="2">
        <f>Table1[[#This Row],[Profit]]/Table1[[#This Row],[Sales]]</f>
        <v>0.16165557869077243</v>
      </c>
      <c r="S865" t="str">
        <f t="shared" si="13"/>
        <v>Low (1-10%)</v>
      </c>
    </row>
    <row r="866" spans="1:19" x14ac:dyDescent="0.2">
      <c r="A866" t="s">
        <v>1661</v>
      </c>
      <c r="B866" s="3" t="s">
        <v>329</v>
      </c>
      <c r="C866" t="s">
        <v>281</v>
      </c>
      <c r="D866" t="s">
        <v>137</v>
      </c>
      <c r="E866" t="s">
        <v>142</v>
      </c>
      <c r="F866" t="s">
        <v>19</v>
      </c>
      <c r="G866" t="s">
        <v>20</v>
      </c>
      <c r="H866" t="s">
        <v>239</v>
      </c>
      <c r="I866" s="4">
        <v>4187.3599999999997</v>
      </c>
      <c r="J866">
        <v>8</v>
      </c>
      <c r="K866" s="2">
        <v>0.2</v>
      </c>
      <c r="L866" s="4">
        <v>-152.51</v>
      </c>
      <c r="M866" t="s">
        <v>31</v>
      </c>
      <c r="N866" t="s">
        <v>23</v>
      </c>
      <c r="O866">
        <f>YEAR(Table1[[#This Row],[Order Date]])</f>
        <v>2024</v>
      </c>
      <c r="P866" t="str">
        <f>TEXT(Table1[[#This Row],[Order Date]],"mmmm")</f>
        <v>December</v>
      </c>
      <c r="Q866" t="str">
        <f>TEXT(Table1[[#This Row],[Order Date]],"mm")</f>
        <v>12</v>
      </c>
      <c r="R866" s="2">
        <f>Table1[[#This Row],[Profit]]/Table1[[#This Row],[Sales]]</f>
        <v>-3.6421516182033549E-2</v>
      </c>
      <c r="S866" t="str">
        <f t="shared" si="13"/>
        <v>Medium (11-20%)</v>
      </c>
    </row>
    <row r="867" spans="1:19" x14ac:dyDescent="0.2">
      <c r="A867" t="s">
        <v>1662</v>
      </c>
      <c r="B867" s="3" t="s">
        <v>1427</v>
      </c>
      <c r="C867" t="s">
        <v>169</v>
      </c>
      <c r="D867" t="s">
        <v>137</v>
      </c>
      <c r="E867" t="s">
        <v>142</v>
      </c>
      <c r="F867" t="s">
        <v>55</v>
      </c>
      <c r="G867" t="s">
        <v>98</v>
      </c>
      <c r="H867" t="s">
        <v>154</v>
      </c>
      <c r="I867" s="4">
        <v>11826.8</v>
      </c>
      <c r="J867">
        <v>10</v>
      </c>
      <c r="K867" s="2">
        <v>0.3</v>
      </c>
      <c r="L867" s="4">
        <v>-2132.44</v>
      </c>
      <c r="M867" t="s">
        <v>143</v>
      </c>
      <c r="N867" t="s">
        <v>39</v>
      </c>
      <c r="O867">
        <f>YEAR(Table1[[#This Row],[Order Date]])</f>
        <v>2024</v>
      </c>
      <c r="P867" t="str">
        <f>TEXT(Table1[[#This Row],[Order Date]],"mmmm")</f>
        <v>June</v>
      </c>
      <c r="Q867" t="str">
        <f>TEXT(Table1[[#This Row],[Order Date]],"mm")</f>
        <v>06</v>
      </c>
      <c r="R867" s="2">
        <f>Table1[[#This Row],[Profit]]/Table1[[#This Row],[Sales]]</f>
        <v>-0.18030574627118073</v>
      </c>
      <c r="S867" t="str">
        <f t="shared" si="13"/>
        <v>High (21-30%)</v>
      </c>
    </row>
    <row r="868" spans="1:19" x14ac:dyDescent="0.2">
      <c r="A868" t="s">
        <v>1663</v>
      </c>
      <c r="B868" s="3" t="s">
        <v>1653</v>
      </c>
      <c r="C868" t="s">
        <v>768</v>
      </c>
      <c r="D868" t="s">
        <v>48</v>
      </c>
      <c r="E868" t="s">
        <v>110</v>
      </c>
      <c r="F868" t="s">
        <v>55</v>
      </c>
      <c r="G868" t="s">
        <v>98</v>
      </c>
      <c r="H868" t="s">
        <v>150</v>
      </c>
      <c r="I868" s="4">
        <v>4250.24</v>
      </c>
      <c r="J868">
        <v>4</v>
      </c>
      <c r="K868" s="2">
        <v>0.3</v>
      </c>
      <c r="L868" s="4">
        <v>-891.01</v>
      </c>
      <c r="M868" t="s">
        <v>22</v>
      </c>
      <c r="N868" t="s">
        <v>39</v>
      </c>
      <c r="O868">
        <f>YEAR(Table1[[#This Row],[Order Date]])</f>
        <v>2025</v>
      </c>
      <c r="P868" t="str">
        <f>TEXT(Table1[[#This Row],[Order Date]],"mmmm")</f>
        <v>June</v>
      </c>
      <c r="Q868" t="str">
        <f>TEXT(Table1[[#This Row],[Order Date]],"mm")</f>
        <v>06</v>
      </c>
      <c r="R868" s="2">
        <f>Table1[[#This Row],[Profit]]/Table1[[#This Row],[Sales]]</f>
        <v>-0.20963757340761935</v>
      </c>
      <c r="S868" t="str">
        <f t="shared" si="13"/>
        <v>High (21-30%)</v>
      </c>
    </row>
    <row r="869" spans="1:19" x14ac:dyDescent="0.2">
      <c r="A869" t="s">
        <v>1664</v>
      </c>
      <c r="B869" s="3" t="s">
        <v>1665</v>
      </c>
      <c r="C869" t="s">
        <v>346</v>
      </c>
      <c r="D869" t="s">
        <v>17</v>
      </c>
      <c r="E869" t="s">
        <v>97</v>
      </c>
      <c r="F869" t="s">
        <v>67</v>
      </c>
      <c r="G869" t="s">
        <v>85</v>
      </c>
      <c r="H869" t="s">
        <v>86</v>
      </c>
      <c r="I869" s="4">
        <v>5868.35</v>
      </c>
      <c r="J869">
        <v>5</v>
      </c>
      <c r="K869" s="2">
        <v>0.2</v>
      </c>
      <c r="L869" s="4">
        <v>-695.64</v>
      </c>
      <c r="M869" t="s">
        <v>31</v>
      </c>
      <c r="N869" t="s">
        <v>23</v>
      </c>
      <c r="O869">
        <f>YEAR(Table1[[#This Row],[Order Date]])</f>
        <v>2025</v>
      </c>
      <c r="P869" t="str">
        <f>TEXT(Table1[[#This Row],[Order Date]],"mmmm")</f>
        <v>September</v>
      </c>
      <c r="Q869" t="str">
        <f>TEXT(Table1[[#This Row],[Order Date]],"mm")</f>
        <v>09</v>
      </c>
      <c r="R869" s="2">
        <f>Table1[[#This Row],[Profit]]/Table1[[#This Row],[Sales]]</f>
        <v>-0.11854098681912291</v>
      </c>
      <c r="S869" t="str">
        <f t="shared" si="13"/>
        <v>Medium (11-20%)</v>
      </c>
    </row>
    <row r="870" spans="1:19" x14ac:dyDescent="0.2">
      <c r="A870" t="s">
        <v>1666</v>
      </c>
      <c r="B870" s="3" t="s">
        <v>444</v>
      </c>
      <c r="C870" t="s">
        <v>942</v>
      </c>
      <c r="D870" t="s">
        <v>48</v>
      </c>
      <c r="E870" t="s">
        <v>110</v>
      </c>
      <c r="F870" t="s">
        <v>55</v>
      </c>
      <c r="G870" t="s">
        <v>56</v>
      </c>
      <c r="H870" t="s">
        <v>62</v>
      </c>
      <c r="I870" s="4">
        <v>4112.46</v>
      </c>
      <c r="J870">
        <v>6</v>
      </c>
      <c r="K870" s="2">
        <v>0</v>
      </c>
      <c r="L870" s="4">
        <v>967.66</v>
      </c>
      <c r="M870" t="s">
        <v>44</v>
      </c>
      <c r="N870" t="s">
        <v>23</v>
      </c>
      <c r="O870">
        <f>YEAR(Table1[[#This Row],[Order Date]])</f>
        <v>2025</v>
      </c>
      <c r="P870" t="str">
        <f>TEXT(Table1[[#This Row],[Order Date]],"mmmm")</f>
        <v>December</v>
      </c>
      <c r="Q870" t="str">
        <f>TEXT(Table1[[#This Row],[Order Date]],"mm")</f>
        <v>12</v>
      </c>
      <c r="R870" s="2">
        <f>Table1[[#This Row],[Profit]]/Table1[[#This Row],[Sales]]</f>
        <v>0.23529955306556172</v>
      </c>
      <c r="S870" t="str">
        <f t="shared" si="13"/>
        <v>No Discount</v>
      </c>
    </row>
    <row r="871" spans="1:19" x14ac:dyDescent="0.2">
      <c r="A871" t="s">
        <v>1667</v>
      </c>
      <c r="B871" s="3" t="s">
        <v>1304</v>
      </c>
      <c r="C871" t="s">
        <v>1234</v>
      </c>
      <c r="D871" t="s">
        <v>137</v>
      </c>
      <c r="E871" t="s">
        <v>138</v>
      </c>
      <c r="F871" t="s">
        <v>55</v>
      </c>
      <c r="G871" t="s">
        <v>74</v>
      </c>
      <c r="H871" t="s">
        <v>133</v>
      </c>
      <c r="I871" s="4">
        <v>4872.42</v>
      </c>
      <c r="J871">
        <v>7</v>
      </c>
      <c r="K871" s="2">
        <v>0.3</v>
      </c>
      <c r="L871" s="4">
        <v>114.29</v>
      </c>
      <c r="M871" t="s">
        <v>117</v>
      </c>
      <c r="N871" t="s">
        <v>23</v>
      </c>
      <c r="O871">
        <f>YEAR(Table1[[#This Row],[Order Date]])</f>
        <v>2025</v>
      </c>
      <c r="P871" t="str">
        <f>TEXT(Table1[[#This Row],[Order Date]],"mmmm")</f>
        <v>May</v>
      </c>
      <c r="Q871" t="str">
        <f>TEXT(Table1[[#This Row],[Order Date]],"mm")</f>
        <v>05</v>
      </c>
      <c r="R871" s="2">
        <f>Table1[[#This Row],[Profit]]/Table1[[#This Row],[Sales]]</f>
        <v>2.3456516474359763E-2</v>
      </c>
      <c r="S871" t="str">
        <f t="shared" si="13"/>
        <v>High (21-30%)</v>
      </c>
    </row>
    <row r="872" spans="1:19" x14ac:dyDescent="0.2">
      <c r="A872" t="s">
        <v>1668</v>
      </c>
      <c r="B872" s="3" t="s">
        <v>1669</v>
      </c>
      <c r="C872" t="s">
        <v>480</v>
      </c>
      <c r="D872" t="s">
        <v>17</v>
      </c>
      <c r="E872" t="s">
        <v>54</v>
      </c>
      <c r="F872" t="s">
        <v>19</v>
      </c>
      <c r="G872" t="s">
        <v>36</v>
      </c>
      <c r="H872" t="s">
        <v>37</v>
      </c>
      <c r="I872" s="4">
        <v>464.24</v>
      </c>
      <c r="J872">
        <v>7</v>
      </c>
      <c r="K872" s="2">
        <v>0.05</v>
      </c>
      <c r="L872" s="4">
        <v>25.4</v>
      </c>
      <c r="M872" t="s">
        <v>31</v>
      </c>
      <c r="N872" t="s">
        <v>23</v>
      </c>
      <c r="O872">
        <f>YEAR(Table1[[#This Row],[Order Date]])</f>
        <v>2025</v>
      </c>
      <c r="P872" t="str">
        <f>TEXT(Table1[[#This Row],[Order Date]],"mmmm")</f>
        <v>October</v>
      </c>
      <c r="Q872" t="str">
        <f>TEXT(Table1[[#This Row],[Order Date]],"mm")</f>
        <v>10</v>
      </c>
      <c r="R872" s="2">
        <f>Table1[[#This Row],[Profit]]/Table1[[#This Row],[Sales]]</f>
        <v>5.4713079441668096E-2</v>
      </c>
      <c r="S872" t="str">
        <f t="shared" si="13"/>
        <v>Low (1-10%)</v>
      </c>
    </row>
    <row r="873" spans="1:19" x14ac:dyDescent="0.2">
      <c r="A873" t="s">
        <v>1670</v>
      </c>
      <c r="B873" s="3" t="s">
        <v>413</v>
      </c>
      <c r="C873" t="s">
        <v>66</v>
      </c>
      <c r="D873" t="s">
        <v>137</v>
      </c>
      <c r="E873" t="s">
        <v>242</v>
      </c>
      <c r="F873" t="s">
        <v>67</v>
      </c>
      <c r="G873" t="s">
        <v>115</v>
      </c>
      <c r="H873" t="s">
        <v>212</v>
      </c>
      <c r="I873" s="4">
        <v>840.92</v>
      </c>
      <c r="J873">
        <v>1</v>
      </c>
      <c r="K873" s="2">
        <v>0.25</v>
      </c>
      <c r="L873" s="4">
        <v>125.42</v>
      </c>
      <c r="M873" t="s">
        <v>195</v>
      </c>
      <c r="N873" t="s">
        <v>32</v>
      </c>
      <c r="O873">
        <f>YEAR(Table1[[#This Row],[Order Date]])</f>
        <v>2025</v>
      </c>
      <c r="P873" t="str">
        <f>TEXT(Table1[[#This Row],[Order Date]],"mmmm")</f>
        <v>January</v>
      </c>
      <c r="Q873" t="str">
        <f>TEXT(Table1[[#This Row],[Order Date]],"mm")</f>
        <v>01</v>
      </c>
      <c r="R873" s="2">
        <f>Table1[[#This Row],[Profit]]/Table1[[#This Row],[Sales]]</f>
        <v>0.14914617323883367</v>
      </c>
      <c r="S873" t="str">
        <f t="shared" si="13"/>
        <v>High (21-30%)</v>
      </c>
    </row>
    <row r="874" spans="1:19" x14ac:dyDescent="0.2">
      <c r="A874" t="s">
        <v>1671</v>
      </c>
      <c r="B874" s="3" t="s">
        <v>1160</v>
      </c>
      <c r="C874" t="s">
        <v>906</v>
      </c>
      <c r="D874" t="s">
        <v>17</v>
      </c>
      <c r="E874" t="s">
        <v>97</v>
      </c>
      <c r="F874" t="s">
        <v>55</v>
      </c>
      <c r="G874" t="s">
        <v>56</v>
      </c>
      <c r="H874" t="s">
        <v>57</v>
      </c>
      <c r="I874" s="4">
        <v>5299.5</v>
      </c>
      <c r="J874">
        <v>5</v>
      </c>
      <c r="K874" s="2">
        <v>0.05</v>
      </c>
      <c r="L874" s="4">
        <v>68.33</v>
      </c>
      <c r="M874" t="s">
        <v>63</v>
      </c>
      <c r="N874" t="s">
        <v>23</v>
      </c>
      <c r="O874">
        <f>YEAR(Table1[[#This Row],[Order Date]])</f>
        <v>2024</v>
      </c>
      <c r="P874" t="str">
        <f>TEXT(Table1[[#This Row],[Order Date]],"mmmm")</f>
        <v>December</v>
      </c>
      <c r="Q874" t="str">
        <f>TEXT(Table1[[#This Row],[Order Date]],"mm")</f>
        <v>12</v>
      </c>
      <c r="R874" s="2">
        <f>Table1[[#This Row],[Profit]]/Table1[[#This Row],[Sales]]</f>
        <v>1.28936692140768E-2</v>
      </c>
      <c r="S874" t="str">
        <f t="shared" si="13"/>
        <v>Low (1-10%)</v>
      </c>
    </row>
    <row r="875" spans="1:19" x14ac:dyDescent="0.2">
      <c r="A875" t="s">
        <v>1672</v>
      </c>
      <c r="B875" s="3" t="s">
        <v>558</v>
      </c>
      <c r="C875" t="s">
        <v>90</v>
      </c>
      <c r="D875" t="s">
        <v>137</v>
      </c>
      <c r="E875" t="s">
        <v>160</v>
      </c>
      <c r="F875" t="s">
        <v>55</v>
      </c>
      <c r="G875" t="s">
        <v>74</v>
      </c>
      <c r="H875" t="s">
        <v>272</v>
      </c>
      <c r="I875" s="4">
        <v>672.42</v>
      </c>
      <c r="J875">
        <v>7</v>
      </c>
      <c r="K875" s="2">
        <v>0</v>
      </c>
      <c r="L875" s="4">
        <v>113.86</v>
      </c>
      <c r="M875" t="s">
        <v>31</v>
      </c>
      <c r="N875" t="s">
        <v>23</v>
      </c>
      <c r="O875">
        <f>YEAR(Table1[[#This Row],[Order Date]])</f>
        <v>2025</v>
      </c>
      <c r="P875" t="str">
        <f>TEXT(Table1[[#This Row],[Order Date]],"mmmm")</f>
        <v>March</v>
      </c>
      <c r="Q875" t="str">
        <f>TEXT(Table1[[#This Row],[Order Date]],"mm")</f>
        <v>03</v>
      </c>
      <c r="R875" s="2">
        <f>Table1[[#This Row],[Profit]]/Table1[[#This Row],[Sales]]</f>
        <v>0.16932869337616371</v>
      </c>
      <c r="S875" t="str">
        <f t="shared" si="13"/>
        <v>No Discount</v>
      </c>
    </row>
    <row r="876" spans="1:19" x14ac:dyDescent="0.2">
      <c r="A876" t="s">
        <v>1673</v>
      </c>
      <c r="B876" s="3" t="s">
        <v>1374</v>
      </c>
      <c r="C876" t="s">
        <v>687</v>
      </c>
      <c r="D876" t="s">
        <v>137</v>
      </c>
      <c r="E876" t="s">
        <v>160</v>
      </c>
      <c r="F876" t="s">
        <v>67</v>
      </c>
      <c r="G876" t="s">
        <v>115</v>
      </c>
      <c r="H876" t="s">
        <v>116</v>
      </c>
      <c r="I876" s="4">
        <v>2904.18</v>
      </c>
      <c r="J876">
        <v>6</v>
      </c>
      <c r="K876" s="2">
        <v>0.25</v>
      </c>
      <c r="L876" s="4">
        <v>-265.52999999999997</v>
      </c>
      <c r="M876" t="s">
        <v>63</v>
      </c>
      <c r="N876" t="s">
        <v>39</v>
      </c>
      <c r="O876">
        <f>YEAR(Table1[[#This Row],[Order Date]])</f>
        <v>2025</v>
      </c>
      <c r="P876" t="str">
        <f>TEXT(Table1[[#This Row],[Order Date]],"mmmm")</f>
        <v>October</v>
      </c>
      <c r="Q876" t="str">
        <f>TEXT(Table1[[#This Row],[Order Date]],"mm")</f>
        <v>10</v>
      </c>
      <c r="R876" s="2">
        <f>Table1[[#This Row],[Profit]]/Table1[[#This Row],[Sales]]</f>
        <v>-9.1430283246906177E-2</v>
      </c>
      <c r="S876" t="str">
        <f t="shared" si="13"/>
        <v>High (21-30%)</v>
      </c>
    </row>
    <row r="877" spans="1:19" x14ac:dyDescent="0.2">
      <c r="A877" t="s">
        <v>1674</v>
      </c>
      <c r="B877" s="3" t="s">
        <v>924</v>
      </c>
      <c r="C877" t="s">
        <v>1675</v>
      </c>
      <c r="D877" t="s">
        <v>27</v>
      </c>
      <c r="E877" t="s">
        <v>28</v>
      </c>
      <c r="F877" t="s">
        <v>55</v>
      </c>
      <c r="G877" t="s">
        <v>98</v>
      </c>
      <c r="H877" t="s">
        <v>150</v>
      </c>
      <c r="I877" s="4">
        <v>2887.41</v>
      </c>
      <c r="J877">
        <v>3</v>
      </c>
      <c r="K877" s="2">
        <v>0.2</v>
      </c>
      <c r="L877" s="4">
        <v>326.52999999999997</v>
      </c>
      <c r="M877" t="s">
        <v>195</v>
      </c>
      <c r="N877" t="s">
        <v>32</v>
      </c>
      <c r="O877">
        <f>YEAR(Table1[[#This Row],[Order Date]])</f>
        <v>2025</v>
      </c>
      <c r="P877" t="str">
        <f>TEXT(Table1[[#This Row],[Order Date]],"mmmm")</f>
        <v>November</v>
      </c>
      <c r="Q877" t="str">
        <f>TEXT(Table1[[#This Row],[Order Date]],"mm")</f>
        <v>11</v>
      </c>
      <c r="R877" s="2">
        <f>Table1[[#This Row],[Profit]]/Table1[[#This Row],[Sales]]</f>
        <v>0.11308750748941092</v>
      </c>
      <c r="S877" t="str">
        <f t="shared" si="13"/>
        <v>Medium (11-20%)</v>
      </c>
    </row>
    <row r="878" spans="1:19" x14ac:dyDescent="0.2">
      <c r="A878" t="s">
        <v>1676</v>
      </c>
      <c r="B878" s="3" t="s">
        <v>833</v>
      </c>
      <c r="C878" t="s">
        <v>225</v>
      </c>
      <c r="D878" t="s">
        <v>27</v>
      </c>
      <c r="E878" t="s">
        <v>28</v>
      </c>
      <c r="F878" t="s">
        <v>19</v>
      </c>
      <c r="G878" t="s">
        <v>29</v>
      </c>
      <c r="H878" t="s">
        <v>30</v>
      </c>
      <c r="I878" s="4">
        <v>561.34</v>
      </c>
      <c r="J878">
        <v>2</v>
      </c>
      <c r="K878" s="2">
        <v>0.3</v>
      </c>
      <c r="L878" s="4">
        <v>-112.57</v>
      </c>
      <c r="M878" t="s">
        <v>44</v>
      </c>
      <c r="N878" t="s">
        <v>23</v>
      </c>
      <c r="O878">
        <f>YEAR(Table1[[#This Row],[Order Date]])</f>
        <v>2025</v>
      </c>
      <c r="P878" t="str">
        <f>TEXT(Table1[[#This Row],[Order Date]],"mmmm")</f>
        <v>September</v>
      </c>
      <c r="Q878" t="str">
        <f>TEXT(Table1[[#This Row],[Order Date]],"mm")</f>
        <v>09</v>
      </c>
      <c r="R878" s="2">
        <f>Table1[[#This Row],[Profit]]/Table1[[#This Row],[Sales]]</f>
        <v>-0.20053799836106456</v>
      </c>
      <c r="S878" t="str">
        <f t="shared" si="13"/>
        <v>High (21-30%)</v>
      </c>
    </row>
    <row r="879" spans="1:19" x14ac:dyDescent="0.2">
      <c r="A879" t="s">
        <v>1677</v>
      </c>
      <c r="B879" s="3" t="s">
        <v>431</v>
      </c>
      <c r="C879" t="s">
        <v>841</v>
      </c>
      <c r="D879" t="s">
        <v>27</v>
      </c>
      <c r="E879" t="s">
        <v>124</v>
      </c>
      <c r="F879" t="s">
        <v>19</v>
      </c>
      <c r="G879" t="s">
        <v>20</v>
      </c>
      <c r="H879" t="s">
        <v>21</v>
      </c>
      <c r="I879" s="4">
        <v>277.62</v>
      </c>
      <c r="J879">
        <v>3</v>
      </c>
      <c r="K879" s="2">
        <v>0.1</v>
      </c>
      <c r="L879" s="4">
        <v>34.159999999999997</v>
      </c>
      <c r="M879" t="s">
        <v>63</v>
      </c>
      <c r="N879" t="s">
        <v>32</v>
      </c>
      <c r="O879">
        <f>YEAR(Table1[[#This Row],[Order Date]])</f>
        <v>2025</v>
      </c>
      <c r="P879" t="str">
        <f>TEXT(Table1[[#This Row],[Order Date]],"mmmm")</f>
        <v>April</v>
      </c>
      <c r="Q879" t="str">
        <f>TEXT(Table1[[#This Row],[Order Date]],"mm")</f>
        <v>04</v>
      </c>
      <c r="R879" s="2">
        <f>Table1[[#This Row],[Profit]]/Table1[[#This Row],[Sales]]</f>
        <v>0.12304589006555722</v>
      </c>
      <c r="S879" t="str">
        <f t="shared" si="13"/>
        <v>Low (1-10%)</v>
      </c>
    </row>
    <row r="880" spans="1:19" x14ac:dyDescent="0.2">
      <c r="A880" t="s">
        <v>1678</v>
      </c>
      <c r="B880" s="3" t="s">
        <v>1679</v>
      </c>
      <c r="C880" t="s">
        <v>911</v>
      </c>
      <c r="D880" t="s">
        <v>48</v>
      </c>
      <c r="E880" t="s">
        <v>73</v>
      </c>
      <c r="F880" t="s">
        <v>55</v>
      </c>
      <c r="G880" t="s">
        <v>56</v>
      </c>
      <c r="H880" t="s">
        <v>129</v>
      </c>
      <c r="I880" s="4">
        <v>1220.8800000000001</v>
      </c>
      <c r="J880">
        <v>8</v>
      </c>
      <c r="K880" s="2">
        <v>0.15</v>
      </c>
      <c r="L880" s="4">
        <v>-13.28</v>
      </c>
      <c r="M880" t="s">
        <v>143</v>
      </c>
      <c r="N880" t="s">
        <v>32</v>
      </c>
      <c r="O880">
        <f>YEAR(Table1[[#This Row],[Order Date]])</f>
        <v>2025</v>
      </c>
      <c r="P880" t="str">
        <f>TEXT(Table1[[#This Row],[Order Date]],"mmmm")</f>
        <v>August</v>
      </c>
      <c r="Q880" t="str">
        <f>TEXT(Table1[[#This Row],[Order Date]],"mm")</f>
        <v>08</v>
      </c>
      <c r="R880" s="2">
        <f>Table1[[#This Row],[Profit]]/Table1[[#This Row],[Sales]]</f>
        <v>-1.0877399908262891E-2</v>
      </c>
      <c r="S880" t="str">
        <f t="shared" si="13"/>
        <v>Medium (11-20%)</v>
      </c>
    </row>
    <row r="881" spans="1:19" x14ac:dyDescent="0.2">
      <c r="A881" t="s">
        <v>1680</v>
      </c>
      <c r="B881" s="3" t="s">
        <v>1681</v>
      </c>
      <c r="C881" t="s">
        <v>421</v>
      </c>
      <c r="D881" t="s">
        <v>17</v>
      </c>
      <c r="E881" t="s">
        <v>54</v>
      </c>
      <c r="F881" t="s">
        <v>67</v>
      </c>
      <c r="G881" t="s">
        <v>68</v>
      </c>
      <c r="H881" t="s">
        <v>103</v>
      </c>
      <c r="I881" s="4">
        <v>2188.98</v>
      </c>
      <c r="J881">
        <v>3</v>
      </c>
      <c r="K881" s="2">
        <v>0.3</v>
      </c>
      <c r="L881" s="4">
        <v>-543.54</v>
      </c>
      <c r="M881" t="s">
        <v>107</v>
      </c>
      <c r="N881" t="s">
        <v>76</v>
      </c>
      <c r="O881">
        <f>YEAR(Table1[[#This Row],[Order Date]])</f>
        <v>2024</v>
      </c>
      <c r="P881" t="str">
        <f>TEXT(Table1[[#This Row],[Order Date]],"mmmm")</f>
        <v>May</v>
      </c>
      <c r="Q881" t="str">
        <f>TEXT(Table1[[#This Row],[Order Date]],"mm")</f>
        <v>05</v>
      </c>
      <c r="R881" s="2">
        <f>Table1[[#This Row],[Profit]]/Table1[[#This Row],[Sales]]</f>
        <v>-0.24830743085820792</v>
      </c>
      <c r="S881" t="str">
        <f t="shared" si="13"/>
        <v>High (21-30%)</v>
      </c>
    </row>
    <row r="882" spans="1:19" x14ac:dyDescent="0.2">
      <c r="A882" t="s">
        <v>1682</v>
      </c>
      <c r="B882" s="3" t="s">
        <v>1683</v>
      </c>
      <c r="C882" t="s">
        <v>452</v>
      </c>
      <c r="D882" t="s">
        <v>48</v>
      </c>
      <c r="E882" t="s">
        <v>84</v>
      </c>
      <c r="F882" t="s">
        <v>67</v>
      </c>
      <c r="G882" t="s">
        <v>68</v>
      </c>
      <c r="H882" t="s">
        <v>382</v>
      </c>
      <c r="I882" s="4">
        <v>7802.96</v>
      </c>
      <c r="J882">
        <v>8</v>
      </c>
      <c r="K882" s="2">
        <v>0</v>
      </c>
      <c r="L882" s="4">
        <v>2932.53</v>
      </c>
      <c r="M882" t="s">
        <v>38</v>
      </c>
      <c r="N882" t="s">
        <v>32</v>
      </c>
      <c r="O882">
        <f>YEAR(Table1[[#This Row],[Order Date]])</f>
        <v>2025</v>
      </c>
      <c r="P882" t="str">
        <f>TEXT(Table1[[#This Row],[Order Date]],"mmmm")</f>
        <v>November</v>
      </c>
      <c r="Q882" t="str">
        <f>TEXT(Table1[[#This Row],[Order Date]],"mm")</f>
        <v>11</v>
      </c>
      <c r="R882" s="2">
        <f>Table1[[#This Row],[Profit]]/Table1[[#This Row],[Sales]]</f>
        <v>0.37582276469442366</v>
      </c>
      <c r="S882" t="str">
        <f t="shared" si="13"/>
        <v>No Discount</v>
      </c>
    </row>
    <row r="883" spans="1:19" x14ac:dyDescent="0.2">
      <c r="A883" t="s">
        <v>1684</v>
      </c>
      <c r="B883" s="3" t="s">
        <v>1685</v>
      </c>
      <c r="C883" t="s">
        <v>221</v>
      </c>
      <c r="D883" t="s">
        <v>27</v>
      </c>
      <c r="E883" t="s">
        <v>28</v>
      </c>
      <c r="F883" t="s">
        <v>19</v>
      </c>
      <c r="G883" t="s">
        <v>20</v>
      </c>
      <c r="H883" t="s">
        <v>347</v>
      </c>
      <c r="I883" s="4">
        <v>5300.05</v>
      </c>
      <c r="J883">
        <v>7</v>
      </c>
      <c r="K883" s="2">
        <v>0.25</v>
      </c>
      <c r="L883" s="4">
        <v>355.71</v>
      </c>
      <c r="M883" t="s">
        <v>63</v>
      </c>
      <c r="N883" t="s">
        <v>39</v>
      </c>
      <c r="O883">
        <f>YEAR(Table1[[#This Row],[Order Date]])</f>
        <v>2025</v>
      </c>
      <c r="P883" t="str">
        <f>TEXT(Table1[[#This Row],[Order Date]],"mmmm")</f>
        <v>October</v>
      </c>
      <c r="Q883" t="str">
        <f>TEXT(Table1[[#This Row],[Order Date]],"mm")</f>
        <v>10</v>
      </c>
      <c r="R883" s="2">
        <f>Table1[[#This Row],[Profit]]/Table1[[#This Row],[Sales]]</f>
        <v>6.7114461184328442E-2</v>
      </c>
      <c r="S883" t="str">
        <f t="shared" si="13"/>
        <v>High (21-30%)</v>
      </c>
    </row>
    <row r="884" spans="1:19" x14ac:dyDescent="0.2">
      <c r="A884" t="s">
        <v>1686</v>
      </c>
      <c r="B884" s="3" t="s">
        <v>326</v>
      </c>
      <c r="C884" t="s">
        <v>792</v>
      </c>
      <c r="D884" t="s">
        <v>27</v>
      </c>
      <c r="E884" t="s">
        <v>61</v>
      </c>
      <c r="F884" t="s">
        <v>19</v>
      </c>
      <c r="G884" t="s">
        <v>29</v>
      </c>
      <c r="H884" t="s">
        <v>30</v>
      </c>
      <c r="I884" s="4">
        <v>205.65</v>
      </c>
      <c r="J884">
        <v>3</v>
      </c>
      <c r="K884" s="2">
        <v>0.1</v>
      </c>
      <c r="L884" s="4">
        <v>-7.67</v>
      </c>
      <c r="M884" t="s">
        <v>44</v>
      </c>
      <c r="N884" t="s">
        <v>39</v>
      </c>
      <c r="O884">
        <f>YEAR(Table1[[#This Row],[Order Date]])</f>
        <v>2024</v>
      </c>
      <c r="P884" t="str">
        <f>TEXT(Table1[[#This Row],[Order Date]],"mmmm")</f>
        <v>May</v>
      </c>
      <c r="Q884" t="str">
        <f>TEXT(Table1[[#This Row],[Order Date]],"mm")</f>
        <v>05</v>
      </c>
      <c r="R884" s="2">
        <f>Table1[[#This Row],[Profit]]/Table1[[#This Row],[Sales]]</f>
        <v>-3.7296377340141018E-2</v>
      </c>
      <c r="S884" t="str">
        <f t="shared" si="13"/>
        <v>Low (1-10%)</v>
      </c>
    </row>
    <row r="885" spans="1:19" x14ac:dyDescent="0.2">
      <c r="A885" t="s">
        <v>1687</v>
      </c>
      <c r="B885" s="3" t="s">
        <v>372</v>
      </c>
      <c r="C885" t="s">
        <v>83</v>
      </c>
      <c r="D885" t="s">
        <v>17</v>
      </c>
      <c r="E885" t="s">
        <v>18</v>
      </c>
      <c r="F885" t="s">
        <v>19</v>
      </c>
      <c r="G885" t="s">
        <v>36</v>
      </c>
      <c r="H885" t="s">
        <v>222</v>
      </c>
      <c r="I885" s="4">
        <v>5595.39</v>
      </c>
      <c r="J885">
        <v>9</v>
      </c>
      <c r="K885" s="2">
        <v>0.3</v>
      </c>
      <c r="L885" s="4">
        <v>-755.91</v>
      </c>
      <c r="M885" t="s">
        <v>117</v>
      </c>
      <c r="N885" t="s">
        <v>23</v>
      </c>
      <c r="O885">
        <f>YEAR(Table1[[#This Row],[Order Date]])</f>
        <v>2024</v>
      </c>
      <c r="P885" t="str">
        <f>TEXT(Table1[[#This Row],[Order Date]],"mmmm")</f>
        <v>July</v>
      </c>
      <c r="Q885" t="str">
        <f>TEXT(Table1[[#This Row],[Order Date]],"mm")</f>
        <v>07</v>
      </c>
      <c r="R885" s="2">
        <f>Table1[[#This Row],[Profit]]/Table1[[#This Row],[Sales]]</f>
        <v>-0.13509514082128321</v>
      </c>
      <c r="S885" t="str">
        <f t="shared" si="13"/>
        <v>High (21-30%)</v>
      </c>
    </row>
    <row r="886" spans="1:19" x14ac:dyDescent="0.2">
      <c r="A886" t="s">
        <v>1688</v>
      </c>
      <c r="B886" s="3" t="s">
        <v>1689</v>
      </c>
      <c r="C886" t="s">
        <v>123</v>
      </c>
      <c r="D886" t="s">
        <v>137</v>
      </c>
      <c r="E886" t="s">
        <v>160</v>
      </c>
      <c r="F886" t="s">
        <v>55</v>
      </c>
      <c r="G886" t="s">
        <v>56</v>
      </c>
      <c r="H886" t="s">
        <v>129</v>
      </c>
      <c r="I886" s="4">
        <v>1745.04</v>
      </c>
      <c r="J886">
        <v>3</v>
      </c>
      <c r="K886" s="2">
        <v>0.25</v>
      </c>
      <c r="L886" s="4">
        <v>17.13</v>
      </c>
      <c r="M886" t="s">
        <v>63</v>
      </c>
      <c r="N886" t="s">
        <v>76</v>
      </c>
      <c r="O886">
        <f>YEAR(Table1[[#This Row],[Order Date]])</f>
        <v>2024</v>
      </c>
      <c r="P886" t="str">
        <f>TEXT(Table1[[#This Row],[Order Date]],"mmmm")</f>
        <v>August</v>
      </c>
      <c r="Q886" t="str">
        <f>TEXT(Table1[[#This Row],[Order Date]],"mm")</f>
        <v>08</v>
      </c>
      <c r="R886" s="2">
        <f>Table1[[#This Row],[Profit]]/Table1[[#This Row],[Sales]]</f>
        <v>9.8163938935497182E-3</v>
      </c>
      <c r="S886" t="str">
        <f t="shared" si="13"/>
        <v>High (21-30%)</v>
      </c>
    </row>
    <row r="887" spans="1:19" x14ac:dyDescent="0.2">
      <c r="A887" t="s">
        <v>1690</v>
      </c>
      <c r="B887" s="3" t="s">
        <v>1691</v>
      </c>
      <c r="C887" t="s">
        <v>262</v>
      </c>
      <c r="D887" t="s">
        <v>48</v>
      </c>
      <c r="E887" t="s">
        <v>84</v>
      </c>
      <c r="F887" t="s">
        <v>55</v>
      </c>
      <c r="G887" t="s">
        <v>56</v>
      </c>
      <c r="H887" t="s">
        <v>62</v>
      </c>
      <c r="I887" s="4">
        <v>1794.85</v>
      </c>
      <c r="J887">
        <v>5</v>
      </c>
      <c r="K887" s="2">
        <v>0.1</v>
      </c>
      <c r="L887" s="4">
        <v>491.3</v>
      </c>
      <c r="M887" t="s">
        <v>117</v>
      </c>
      <c r="N887" t="s">
        <v>32</v>
      </c>
      <c r="O887">
        <f>YEAR(Table1[[#This Row],[Order Date]])</f>
        <v>2024</v>
      </c>
      <c r="P887" t="str">
        <f>TEXT(Table1[[#This Row],[Order Date]],"mmmm")</f>
        <v>June</v>
      </c>
      <c r="Q887" t="str">
        <f>TEXT(Table1[[#This Row],[Order Date]],"mm")</f>
        <v>06</v>
      </c>
      <c r="R887" s="2">
        <f>Table1[[#This Row],[Profit]]/Table1[[#This Row],[Sales]]</f>
        <v>0.27372760954954456</v>
      </c>
      <c r="S887" t="str">
        <f t="shared" si="13"/>
        <v>Low (1-10%)</v>
      </c>
    </row>
    <row r="888" spans="1:19" x14ac:dyDescent="0.2">
      <c r="A888" t="s">
        <v>1692</v>
      </c>
      <c r="B888" s="3" t="s">
        <v>695</v>
      </c>
      <c r="C888" t="s">
        <v>128</v>
      </c>
      <c r="D888" t="s">
        <v>137</v>
      </c>
      <c r="E888" t="s">
        <v>142</v>
      </c>
      <c r="F888" t="s">
        <v>67</v>
      </c>
      <c r="G888" t="s">
        <v>115</v>
      </c>
      <c r="H888" t="s">
        <v>212</v>
      </c>
      <c r="I888" s="4">
        <v>2128.94</v>
      </c>
      <c r="J888">
        <v>2</v>
      </c>
      <c r="K888" s="2">
        <v>0.1</v>
      </c>
      <c r="L888" s="4">
        <v>596.98</v>
      </c>
      <c r="M888" t="s">
        <v>143</v>
      </c>
      <c r="N888" t="s">
        <v>32</v>
      </c>
      <c r="O888">
        <f>YEAR(Table1[[#This Row],[Order Date]])</f>
        <v>2025</v>
      </c>
      <c r="P888" t="str">
        <f>TEXT(Table1[[#This Row],[Order Date]],"mmmm")</f>
        <v>July</v>
      </c>
      <c r="Q888" t="str">
        <f>TEXT(Table1[[#This Row],[Order Date]],"mm")</f>
        <v>07</v>
      </c>
      <c r="R888" s="2">
        <f>Table1[[#This Row],[Profit]]/Table1[[#This Row],[Sales]]</f>
        <v>0.28041184814978348</v>
      </c>
      <c r="S888" t="str">
        <f t="shared" si="13"/>
        <v>Low (1-10%)</v>
      </c>
    </row>
    <row r="889" spans="1:19" x14ac:dyDescent="0.2">
      <c r="A889" t="s">
        <v>1693</v>
      </c>
      <c r="B889" s="3" t="s">
        <v>629</v>
      </c>
      <c r="C889" t="s">
        <v>218</v>
      </c>
      <c r="D889" t="s">
        <v>27</v>
      </c>
      <c r="E889" t="s">
        <v>124</v>
      </c>
      <c r="F889" t="s">
        <v>55</v>
      </c>
      <c r="G889" t="s">
        <v>56</v>
      </c>
      <c r="H889" t="s">
        <v>62</v>
      </c>
      <c r="I889" s="4">
        <v>3720</v>
      </c>
      <c r="J889">
        <v>4</v>
      </c>
      <c r="K889" s="2">
        <v>0.25</v>
      </c>
      <c r="L889" s="4">
        <v>-679.23</v>
      </c>
      <c r="M889" t="s">
        <v>143</v>
      </c>
      <c r="N889" t="s">
        <v>39</v>
      </c>
      <c r="O889">
        <f>YEAR(Table1[[#This Row],[Order Date]])</f>
        <v>2024</v>
      </c>
      <c r="P889" t="str">
        <f>TEXT(Table1[[#This Row],[Order Date]],"mmmm")</f>
        <v>September</v>
      </c>
      <c r="Q889" t="str">
        <f>TEXT(Table1[[#This Row],[Order Date]],"mm")</f>
        <v>09</v>
      </c>
      <c r="R889" s="2">
        <f>Table1[[#This Row],[Profit]]/Table1[[#This Row],[Sales]]</f>
        <v>-0.18258870967741936</v>
      </c>
      <c r="S889" t="str">
        <f t="shared" si="13"/>
        <v>High (21-30%)</v>
      </c>
    </row>
    <row r="890" spans="1:19" x14ac:dyDescent="0.2">
      <c r="A890" t="s">
        <v>1694</v>
      </c>
      <c r="B890" s="3" t="s">
        <v>1695</v>
      </c>
      <c r="C890" t="s">
        <v>136</v>
      </c>
      <c r="D890" t="s">
        <v>17</v>
      </c>
      <c r="E890" t="s">
        <v>18</v>
      </c>
      <c r="F890" t="s">
        <v>55</v>
      </c>
      <c r="G890" t="s">
        <v>98</v>
      </c>
      <c r="H890" t="s">
        <v>150</v>
      </c>
      <c r="I890" s="4">
        <v>344.3</v>
      </c>
      <c r="J890">
        <v>1</v>
      </c>
      <c r="K890" s="2">
        <v>0.05</v>
      </c>
      <c r="L890" s="4">
        <v>32.299999999999997</v>
      </c>
      <c r="M890" t="s">
        <v>63</v>
      </c>
      <c r="N890" t="s">
        <v>23</v>
      </c>
      <c r="O890">
        <f>YEAR(Table1[[#This Row],[Order Date]])</f>
        <v>2024</v>
      </c>
      <c r="P890" t="str">
        <f>TEXT(Table1[[#This Row],[Order Date]],"mmmm")</f>
        <v>November</v>
      </c>
      <c r="Q890" t="str">
        <f>TEXT(Table1[[#This Row],[Order Date]],"mm")</f>
        <v>11</v>
      </c>
      <c r="R890" s="2">
        <f>Table1[[#This Row],[Profit]]/Table1[[#This Row],[Sales]]</f>
        <v>9.3813534708103385E-2</v>
      </c>
      <c r="S890" t="str">
        <f t="shared" si="13"/>
        <v>Low (1-10%)</v>
      </c>
    </row>
    <row r="891" spans="1:19" x14ac:dyDescent="0.2">
      <c r="A891" t="s">
        <v>1696</v>
      </c>
      <c r="B891" s="3" t="s">
        <v>545</v>
      </c>
      <c r="C891" t="s">
        <v>235</v>
      </c>
      <c r="D891" t="s">
        <v>27</v>
      </c>
      <c r="E891" t="s">
        <v>43</v>
      </c>
      <c r="F891" t="s">
        <v>67</v>
      </c>
      <c r="G891" t="s">
        <v>85</v>
      </c>
      <c r="H891" t="s">
        <v>253</v>
      </c>
      <c r="I891" s="4">
        <v>399.65</v>
      </c>
      <c r="J891">
        <v>1</v>
      </c>
      <c r="K891" s="2">
        <v>0.3</v>
      </c>
      <c r="L891" s="4">
        <v>-51.74</v>
      </c>
      <c r="M891" t="s">
        <v>31</v>
      </c>
      <c r="N891" t="s">
        <v>23</v>
      </c>
      <c r="O891">
        <f>YEAR(Table1[[#This Row],[Order Date]])</f>
        <v>2025</v>
      </c>
      <c r="P891" t="str">
        <f>TEXT(Table1[[#This Row],[Order Date]],"mmmm")</f>
        <v>April</v>
      </c>
      <c r="Q891" t="str">
        <f>TEXT(Table1[[#This Row],[Order Date]],"mm")</f>
        <v>04</v>
      </c>
      <c r="R891" s="2">
        <f>Table1[[#This Row],[Profit]]/Table1[[#This Row],[Sales]]</f>
        <v>-0.12946328037032404</v>
      </c>
      <c r="S891" t="str">
        <f t="shared" si="13"/>
        <v>High (21-30%)</v>
      </c>
    </row>
    <row r="892" spans="1:19" x14ac:dyDescent="0.2">
      <c r="A892" t="s">
        <v>1697</v>
      </c>
      <c r="B892" s="3" t="s">
        <v>1617</v>
      </c>
      <c r="C892" t="s">
        <v>661</v>
      </c>
      <c r="D892" t="s">
        <v>48</v>
      </c>
      <c r="E892" t="s">
        <v>110</v>
      </c>
      <c r="F892" t="s">
        <v>19</v>
      </c>
      <c r="G892" t="s">
        <v>29</v>
      </c>
      <c r="H892" t="s">
        <v>30</v>
      </c>
      <c r="I892" s="4">
        <v>4089.6</v>
      </c>
      <c r="J892">
        <v>5</v>
      </c>
      <c r="K892" s="2">
        <v>0.05</v>
      </c>
      <c r="L892" s="4">
        <v>921.94</v>
      </c>
      <c r="M892" t="s">
        <v>22</v>
      </c>
      <c r="N892" t="s">
        <v>76</v>
      </c>
      <c r="O892">
        <f>YEAR(Table1[[#This Row],[Order Date]])</f>
        <v>2024</v>
      </c>
      <c r="P892" t="str">
        <f>TEXT(Table1[[#This Row],[Order Date]],"mmmm")</f>
        <v>April</v>
      </c>
      <c r="Q892" t="str">
        <f>TEXT(Table1[[#This Row],[Order Date]],"mm")</f>
        <v>04</v>
      </c>
      <c r="R892" s="2">
        <f>Table1[[#This Row],[Profit]]/Table1[[#This Row],[Sales]]</f>
        <v>0.22543525039123632</v>
      </c>
      <c r="S892" t="str">
        <f t="shared" si="13"/>
        <v>Low (1-10%)</v>
      </c>
    </row>
    <row r="893" spans="1:19" x14ac:dyDescent="0.2">
      <c r="A893" t="s">
        <v>1698</v>
      </c>
      <c r="B893" s="3" t="s">
        <v>1544</v>
      </c>
      <c r="C893" t="s">
        <v>281</v>
      </c>
      <c r="D893" t="s">
        <v>137</v>
      </c>
      <c r="E893" t="s">
        <v>142</v>
      </c>
      <c r="F893" t="s">
        <v>19</v>
      </c>
      <c r="G893" t="s">
        <v>36</v>
      </c>
      <c r="H893" t="s">
        <v>222</v>
      </c>
      <c r="I893" s="4">
        <v>1123.58</v>
      </c>
      <c r="J893">
        <v>2</v>
      </c>
      <c r="K893" s="2">
        <v>0.05</v>
      </c>
      <c r="L893" s="4">
        <v>180.07</v>
      </c>
      <c r="M893" t="s">
        <v>117</v>
      </c>
      <c r="N893" t="s">
        <v>23</v>
      </c>
      <c r="O893">
        <f>YEAR(Table1[[#This Row],[Order Date]])</f>
        <v>2024</v>
      </c>
      <c r="P893" t="str">
        <f>TEXT(Table1[[#This Row],[Order Date]],"mmmm")</f>
        <v>June</v>
      </c>
      <c r="Q893" t="str">
        <f>TEXT(Table1[[#This Row],[Order Date]],"mm")</f>
        <v>06</v>
      </c>
      <c r="R893" s="2">
        <f>Table1[[#This Row],[Profit]]/Table1[[#This Row],[Sales]]</f>
        <v>0.16026451165026079</v>
      </c>
      <c r="S893" t="str">
        <f t="shared" si="13"/>
        <v>Low (1-10%)</v>
      </c>
    </row>
    <row r="894" spans="1:19" x14ac:dyDescent="0.2">
      <c r="A894" t="s">
        <v>1699</v>
      </c>
      <c r="B894" s="3" t="s">
        <v>131</v>
      </c>
      <c r="C894" t="s">
        <v>450</v>
      </c>
      <c r="D894" t="s">
        <v>48</v>
      </c>
      <c r="E894" t="s">
        <v>49</v>
      </c>
      <c r="F894" t="s">
        <v>19</v>
      </c>
      <c r="G894" t="s">
        <v>20</v>
      </c>
      <c r="H894" t="s">
        <v>347</v>
      </c>
      <c r="I894" s="4">
        <v>841.24</v>
      </c>
      <c r="J894">
        <v>1</v>
      </c>
      <c r="K894" s="2">
        <v>0.25</v>
      </c>
      <c r="L894" s="4">
        <v>107.46</v>
      </c>
      <c r="M894" t="s">
        <v>195</v>
      </c>
      <c r="N894" t="s">
        <v>32</v>
      </c>
      <c r="O894">
        <f>YEAR(Table1[[#This Row],[Order Date]])</f>
        <v>2024</v>
      </c>
      <c r="P894" t="str">
        <f>TEXT(Table1[[#This Row],[Order Date]],"mmmm")</f>
        <v>January</v>
      </c>
      <c r="Q894" t="str">
        <f>TEXT(Table1[[#This Row],[Order Date]],"mm")</f>
        <v>01</v>
      </c>
      <c r="R894" s="2">
        <f>Table1[[#This Row],[Profit]]/Table1[[#This Row],[Sales]]</f>
        <v>0.12774000285293138</v>
      </c>
      <c r="S894" t="str">
        <f t="shared" si="13"/>
        <v>High (21-30%)</v>
      </c>
    </row>
    <row r="895" spans="1:19" x14ac:dyDescent="0.2">
      <c r="A895" t="s">
        <v>1700</v>
      </c>
      <c r="B895" s="3" t="s">
        <v>1250</v>
      </c>
      <c r="C895" t="s">
        <v>146</v>
      </c>
      <c r="D895" t="s">
        <v>48</v>
      </c>
      <c r="E895" t="s">
        <v>49</v>
      </c>
      <c r="F895" t="s">
        <v>19</v>
      </c>
      <c r="G895" t="s">
        <v>36</v>
      </c>
      <c r="H895" t="s">
        <v>37</v>
      </c>
      <c r="I895" s="4">
        <v>8588.52</v>
      </c>
      <c r="J895">
        <v>9</v>
      </c>
      <c r="K895" s="2">
        <v>0</v>
      </c>
      <c r="L895" s="4">
        <v>1035.8399999999999</v>
      </c>
      <c r="M895" t="s">
        <v>87</v>
      </c>
      <c r="N895" t="s">
        <v>39</v>
      </c>
      <c r="O895">
        <f>YEAR(Table1[[#This Row],[Order Date]])</f>
        <v>2024</v>
      </c>
      <c r="P895" t="str">
        <f>TEXT(Table1[[#This Row],[Order Date]],"mmmm")</f>
        <v>July</v>
      </c>
      <c r="Q895" t="str">
        <f>TEXT(Table1[[#This Row],[Order Date]],"mm")</f>
        <v>07</v>
      </c>
      <c r="R895" s="2">
        <f>Table1[[#This Row],[Profit]]/Table1[[#This Row],[Sales]]</f>
        <v>0.12060750862779616</v>
      </c>
      <c r="S895" t="str">
        <f t="shared" si="13"/>
        <v>No Discount</v>
      </c>
    </row>
    <row r="896" spans="1:19" x14ac:dyDescent="0.2">
      <c r="A896" t="s">
        <v>1701</v>
      </c>
      <c r="B896" s="3" t="s">
        <v>246</v>
      </c>
      <c r="C896" t="s">
        <v>42</v>
      </c>
      <c r="D896" t="s">
        <v>17</v>
      </c>
      <c r="E896" t="s">
        <v>97</v>
      </c>
      <c r="F896" t="s">
        <v>19</v>
      </c>
      <c r="G896" t="s">
        <v>36</v>
      </c>
      <c r="H896" t="s">
        <v>111</v>
      </c>
      <c r="I896" s="4">
        <v>1822.56</v>
      </c>
      <c r="J896">
        <v>6</v>
      </c>
      <c r="K896" s="2">
        <v>0.3</v>
      </c>
      <c r="L896" s="4">
        <v>-191.41</v>
      </c>
      <c r="M896" t="s">
        <v>31</v>
      </c>
      <c r="N896" t="s">
        <v>23</v>
      </c>
      <c r="O896">
        <f>YEAR(Table1[[#This Row],[Order Date]])</f>
        <v>2025</v>
      </c>
      <c r="P896" t="str">
        <f>TEXT(Table1[[#This Row],[Order Date]],"mmmm")</f>
        <v>August</v>
      </c>
      <c r="Q896" t="str">
        <f>TEXT(Table1[[#This Row],[Order Date]],"mm")</f>
        <v>08</v>
      </c>
      <c r="R896" s="2">
        <f>Table1[[#This Row],[Profit]]/Table1[[#This Row],[Sales]]</f>
        <v>-0.10502260556579757</v>
      </c>
      <c r="S896" t="str">
        <f t="shared" si="13"/>
        <v>High (21-30%)</v>
      </c>
    </row>
    <row r="897" spans="1:19" x14ac:dyDescent="0.2">
      <c r="A897" t="s">
        <v>1702</v>
      </c>
      <c r="B897" s="3" t="s">
        <v>665</v>
      </c>
      <c r="C897" t="s">
        <v>324</v>
      </c>
      <c r="D897" t="s">
        <v>17</v>
      </c>
      <c r="E897" t="s">
        <v>54</v>
      </c>
      <c r="F897" t="s">
        <v>19</v>
      </c>
      <c r="G897" t="s">
        <v>36</v>
      </c>
      <c r="H897" t="s">
        <v>111</v>
      </c>
      <c r="I897" s="4">
        <v>3777.34</v>
      </c>
      <c r="J897">
        <v>7</v>
      </c>
      <c r="K897" s="2">
        <v>0.15</v>
      </c>
      <c r="L897" s="4">
        <v>44.88</v>
      </c>
      <c r="M897" t="s">
        <v>63</v>
      </c>
      <c r="N897" t="s">
        <v>23</v>
      </c>
      <c r="O897">
        <f>YEAR(Table1[[#This Row],[Order Date]])</f>
        <v>2024</v>
      </c>
      <c r="P897" t="str">
        <f>TEXT(Table1[[#This Row],[Order Date]],"mmmm")</f>
        <v>July</v>
      </c>
      <c r="Q897" t="str">
        <f>TEXT(Table1[[#This Row],[Order Date]],"mm")</f>
        <v>07</v>
      </c>
      <c r="R897" s="2">
        <f>Table1[[#This Row],[Profit]]/Table1[[#This Row],[Sales]]</f>
        <v>1.1881376841904621E-2</v>
      </c>
      <c r="S897" t="str">
        <f t="shared" si="13"/>
        <v>Medium (11-20%)</v>
      </c>
    </row>
    <row r="898" spans="1:19" x14ac:dyDescent="0.2">
      <c r="A898" t="s">
        <v>1703</v>
      </c>
      <c r="B898" s="3" t="s">
        <v>686</v>
      </c>
      <c r="C898" t="s">
        <v>532</v>
      </c>
      <c r="D898" t="s">
        <v>137</v>
      </c>
      <c r="E898" t="s">
        <v>160</v>
      </c>
      <c r="F898" t="s">
        <v>67</v>
      </c>
      <c r="G898" t="s">
        <v>85</v>
      </c>
      <c r="H898" t="s">
        <v>86</v>
      </c>
      <c r="I898" s="4">
        <v>6902.46</v>
      </c>
      <c r="J898">
        <v>9</v>
      </c>
      <c r="K898" s="2">
        <v>0.1</v>
      </c>
      <c r="L898" s="4">
        <v>1300.07</v>
      </c>
      <c r="M898" t="s">
        <v>38</v>
      </c>
      <c r="N898" t="s">
        <v>23</v>
      </c>
      <c r="O898">
        <f>YEAR(Table1[[#This Row],[Order Date]])</f>
        <v>2025</v>
      </c>
      <c r="P898" t="str">
        <f>TEXT(Table1[[#This Row],[Order Date]],"mmmm")</f>
        <v>March</v>
      </c>
      <c r="Q898" t="str">
        <f>TEXT(Table1[[#This Row],[Order Date]],"mm")</f>
        <v>03</v>
      </c>
      <c r="R898" s="2">
        <f>Table1[[#This Row],[Profit]]/Table1[[#This Row],[Sales]]</f>
        <v>0.18834879159024462</v>
      </c>
      <c r="S898" t="str">
        <f t="shared" ref="S898:S961" si="14">IF(K898=0,"No Discount",
IF(K898&lt;=0.1,"Low (1-10%)",
IF(K898&lt;=0.2,"Medium (11-20%)",
IF(K898&lt;=0.3,"High (21-30%)","Very High (&gt;30%)"))))</f>
        <v>Low (1-10%)</v>
      </c>
    </row>
    <row r="899" spans="1:19" x14ac:dyDescent="0.2">
      <c r="A899" t="s">
        <v>1704</v>
      </c>
      <c r="B899" s="3" t="s">
        <v>1705</v>
      </c>
      <c r="C899" t="s">
        <v>1101</v>
      </c>
      <c r="D899" t="s">
        <v>137</v>
      </c>
      <c r="E899" t="s">
        <v>160</v>
      </c>
      <c r="F899" t="s">
        <v>19</v>
      </c>
      <c r="G899" t="s">
        <v>36</v>
      </c>
      <c r="H899" t="s">
        <v>222</v>
      </c>
      <c r="I899" s="4">
        <v>10217.5</v>
      </c>
      <c r="J899">
        <v>10</v>
      </c>
      <c r="K899" s="2">
        <v>0.3</v>
      </c>
      <c r="L899" s="4">
        <v>-75.92</v>
      </c>
      <c r="M899" t="s">
        <v>44</v>
      </c>
      <c r="N899" t="s">
        <v>76</v>
      </c>
      <c r="O899">
        <f>YEAR(Table1[[#This Row],[Order Date]])</f>
        <v>2024</v>
      </c>
      <c r="P899" t="str">
        <f>TEXT(Table1[[#This Row],[Order Date]],"mmmm")</f>
        <v>March</v>
      </c>
      <c r="Q899" t="str">
        <f>TEXT(Table1[[#This Row],[Order Date]],"mm")</f>
        <v>03</v>
      </c>
      <c r="R899" s="2">
        <f>Table1[[#This Row],[Profit]]/Table1[[#This Row],[Sales]]</f>
        <v>-7.4303890384144851E-3</v>
      </c>
      <c r="S899" t="str">
        <f t="shared" si="14"/>
        <v>High (21-30%)</v>
      </c>
    </row>
    <row r="900" spans="1:19" x14ac:dyDescent="0.2">
      <c r="A900" t="s">
        <v>1706</v>
      </c>
      <c r="B900" s="3" t="s">
        <v>689</v>
      </c>
      <c r="C900" t="s">
        <v>159</v>
      </c>
      <c r="D900" t="s">
        <v>137</v>
      </c>
      <c r="E900" t="s">
        <v>142</v>
      </c>
      <c r="F900" t="s">
        <v>55</v>
      </c>
      <c r="G900" t="s">
        <v>74</v>
      </c>
      <c r="H900" t="s">
        <v>272</v>
      </c>
      <c r="I900" s="4">
        <v>1391.95</v>
      </c>
      <c r="J900">
        <v>7</v>
      </c>
      <c r="K900" s="2">
        <v>0.15</v>
      </c>
      <c r="L900" s="4">
        <v>-54.01</v>
      </c>
      <c r="M900" t="s">
        <v>195</v>
      </c>
      <c r="N900" t="s">
        <v>39</v>
      </c>
      <c r="O900">
        <f>YEAR(Table1[[#This Row],[Order Date]])</f>
        <v>2025</v>
      </c>
      <c r="P900" t="str">
        <f>TEXT(Table1[[#This Row],[Order Date]],"mmmm")</f>
        <v>May</v>
      </c>
      <c r="Q900" t="str">
        <f>TEXT(Table1[[#This Row],[Order Date]],"mm")</f>
        <v>05</v>
      </c>
      <c r="R900" s="2">
        <f>Table1[[#This Row],[Profit]]/Table1[[#This Row],[Sales]]</f>
        <v>-3.8801681094866911E-2</v>
      </c>
      <c r="S900" t="str">
        <f t="shared" si="14"/>
        <v>Medium (11-20%)</v>
      </c>
    </row>
    <row r="901" spans="1:19" x14ac:dyDescent="0.2">
      <c r="A901" t="s">
        <v>1707</v>
      </c>
      <c r="B901" s="3" t="s">
        <v>1064</v>
      </c>
      <c r="C901" t="s">
        <v>439</v>
      </c>
      <c r="D901" t="s">
        <v>17</v>
      </c>
      <c r="E901" t="s">
        <v>54</v>
      </c>
      <c r="F901" t="s">
        <v>55</v>
      </c>
      <c r="G901" t="s">
        <v>56</v>
      </c>
      <c r="H901" t="s">
        <v>57</v>
      </c>
      <c r="I901" s="4">
        <v>758.08</v>
      </c>
      <c r="J901">
        <v>8</v>
      </c>
      <c r="K901" s="2">
        <v>0</v>
      </c>
      <c r="L901" s="4">
        <v>282.02999999999997</v>
      </c>
      <c r="M901" t="s">
        <v>195</v>
      </c>
      <c r="N901" t="s">
        <v>39</v>
      </c>
      <c r="O901">
        <f>YEAR(Table1[[#This Row],[Order Date]])</f>
        <v>2024</v>
      </c>
      <c r="P901" t="str">
        <f>TEXT(Table1[[#This Row],[Order Date]],"mmmm")</f>
        <v>August</v>
      </c>
      <c r="Q901" t="str">
        <f>TEXT(Table1[[#This Row],[Order Date]],"mm")</f>
        <v>08</v>
      </c>
      <c r="R901" s="2">
        <f>Table1[[#This Row],[Profit]]/Table1[[#This Row],[Sales]]</f>
        <v>0.37203197551709577</v>
      </c>
      <c r="S901" t="str">
        <f t="shared" si="14"/>
        <v>No Discount</v>
      </c>
    </row>
    <row r="902" spans="1:19" x14ac:dyDescent="0.2">
      <c r="A902" t="s">
        <v>1708</v>
      </c>
      <c r="B902" s="3" t="s">
        <v>902</v>
      </c>
      <c r="C902" t="s">
        <v>249</v>
      </c>
      <c r="D902" t="s">
        <v>48</v>
      </c>
      <c r="E902" t="s">
        <v>110</v>
      </c>
      <c r="F902" t="s">
        <v>55</v>
      </c>
      <c r="G902" t="s">
        <v>56</v>
      </c>
      <c r="H902" t="s">
        <v>62</v>
      </c>
      <c r="I902" s="4">
        <v>2687.2</v>
      </c>
      <c r="J902">
        <v>10</v>
      </c>
      <c r="K902" s="2">
        <v>0.25</v>
      </c>
      <c r="L902" s="4">
        <v>-455.95</v>
      </c>
      <c r="M902" t="s">
        <v>31</v>
      </c>
      <c r="N902" t="s">
        <v>76</v>
      </c>
      <c r="O902">
        <f>YEAR(Table1[[#This Row],[Order Date]])</f>
        <v>2025</v>
      </c>
      <c r="P902" t="str">
        <f>TEXT(Table1[[#This Row],[Order Date]],"mmmm")</f>
        <v>June</v>
      </c>
      <c r="Q902" t="str">
        <f>TEXT(Table1[[#This Row],[Order Date]],"mm")</f>
        <v>06</v>
      </c>
      <c r="R902" s="2">
        <f>Table1[[#This Row],[Profit]]/Table1[[#This Row],[Sales]]</f>
        <v>-0.16967475439118787</v>
      </c>
      <c r="S902" t="str">
        <f t="shared" si="14"/>
        <v>High (21-30%)</v>
      </c>
    </row>
    <row r="903" spans="1:19" x14ac:dyDescent="0.2">
      <c r="A903" t="s">
        <v>1709</v>
      </c>
      <c r="B903" s="3" t="s">
        <v>884</v>
      </c>
      <c r="C903" t="s">
        <v>771</v>
      </c>
      <c r="D903" t="s">
        <v>48</v>
      </c>
      <c r="E903" t="s">
        <v>110</v>
      </c>
      <c r="F903" t="s">
        <v>19</v>
      </c>
      <c r="G903" t="s">
        <v>36</v>
      </c>
      <c r="H903" t="s">
        <v>111</v>
      </c>
      <c r="I903" s="4">
        <v>3398.48</v>
      </c>
      <c r="J903">
        <v>8</v>
      </c>
      <c r="K903" s="2">
        <v>0.05</v>
      </c>
      <c r="L903" s="4">
        <v>814.32</v>
      </c>
      <c r="M903" t="s">
        <v>63</v>
      </c>
      <c r="N903" t="s">
        <v>32</v>
      </c>
      <c r="O903">
        <f>YEAR(Table1[[#This Row],[Order Date]])</f>
        <v>2024</v>
      </c>
      <c r="P903" t="str">
        <f>TEXT(Table1[[#This Row],[Order Date]],"mmmm")</f>
        <v>January</v>
      </c>
      <c r="Q903" t="str">
        <f>TEXT(Table1[[#This Row],[Order Date]],"mm")</f>
        <v>01</v>
      </c>
      <c r="R903" s="2">
        <f>Table1[[#This Row],[Profit]]/Table1[[#This Row],[Sales]]</f>
        <v>0.23961300346037054</v>
      </c>
      <c r="S903" t="str">
        <f t="shared" si="14"/>
        <v>Low (1-10%)</v>
      </c>
    </row>
    <row r="904" spans="1:19" x14ac:dyDescent="0.2">
      <c r="A904" t="s">
        <v>1710</v>
      </c>
      <c r="B904" s="3" t="s">
        <v>600</v>
      </c>
      <c r="C904" t="s">
        <v>159</v>
      </c>
      <c r="D904" t="s">
        <v>27</v>
      </c>
      <c r="E904" t="s">
        <v>28</v>
      </c>
      <c r="F904" t="s">
        <v>67</v>
      </c>
      <c r="G904" t="s">
        <v>85</v>
      </c>
      <c r="H904" t="s">
        <v>125</v>
      </c>
      <c r="I904" s="4">
        <v>7301</v>
      </c>
      <c r="J904">
        <v>7</v>
      </c>
      <c r="K904" s="2">
        <v>0.1</v>
      </c>
      <c r="L904" s="4">
        <v>1530.11</v>
      </c>
      <c r="M904" t="s">
        <v>38</v>
      </c>
      <c r="N904" t="s">
        <v>23</v>
      </c>
      <c r="O904">
        <f>YEAR(Table1[[#This Row],[Order Date]])</f>
        <v>2025</v>
      </c>
      <c r="P904" t="str">
        <f>TEXT(Table1[[#This Row],[Order Date]],"mmmm")</f>
        <v>October</v>
      </c>
      <c r="Q904" t="str">
        <f>TEXT(Table1[[#This Row],[Order Date]],"mm")</f>
        <v>10</v>
      </c>
      <c r="R904" s="2">
        <f>Table1[[#This Row],[Profit]]/Table1[[#This Row],[Sales]]</f>
        <v>0.20957540063005067</v>
      </c>
      <c r="S904" t="str">
        <f t="shared" si="14"/>
        <v>Low (1-10%)</v>
      </c>
    </row>
    <row r="905" spans="1:19" x14ac:dyDescent="0.2">
      <c r="A905" t="s">
        <v>1711</v>
      </c>
      <c r="B905" s="3" t="s">
        <v>352</v>
      </c>
      <c r="C905" t="s">
        <v>153</v>
      </c>
      <c r="D905" t="s">
        <v>48</v>
      </c>
      <c r="E905" t="s">
        <v>73</v>
      </c>
      <c r="F905" t="s">
        <v>55</v>
      </c>
      <c r="G905" t="s">
        <v>74</v>
      </c>
      <c r="H905" t="s">
        <v>272</v>
      </c>
      <c r="I905" s="4">
        <v>3380.31</v>
      </c>
      <c r="J905">
        <v>9</v>
      </c>
      <c r="K905" s="2">
        <v>0.05</v>
      </c>
      <c r="L905" s="4">
        <v>126.61</v>
      </c>
      <c r="M905" t="s">
        <v>22</v>
      </c>
      <c r="N905" t="s">
        <v>76</v>
      </c>
      <c r="O905">
        <f>YEAR(Table1[[#This Row],[Order Date]])</f>
        <v>2025</v>
      </c>
      <c r="P905" t="str">
        <f>TEXT(Table1[[#This Row],[Order Date]],"mmmm")</f>
        <v>December</v>
      </c>
      <c r="Q905" t="str">
        <f>TEXT(Table1[[#This Row],[Order Date]],"mm")</f>
        <v>12</v>
      </c>
      <c r="R905" s="2">
        <f>Table1[[#This Row],[Profit]]/Table1[[#This Row],[Sales]]</f>
        <v>3.7455144646496921E-2</v>
      </c>
      <c r="S905" t="str">
        <f t="shared" si="14"/>
        <v>Low (1-10%)</v>
      </c>
    </row>
    <row r="906" spans="1:19" x14ac:dyDescent="0.2">
      <c r="A906" t="s">
        <v>1712</v>
      </c>
      <c r="B906" s="3" t="s">
        <v>603</v>
      </c>
      <c r="C906" t="s">
        <v>169</v>
      </c>
      <c r="D906" t="s">
        <v>17</v>
      </c>
      <c r="E906" t="s">
        <v>97</v>
      </c>
      <c r="F906" t="s">
        <v>55</v>
      </c>
      <c r="G906" t="s">
        <v>56</v>
      </c>
      <c r="H906" t="s">
        <v>57</v>
      </c>
      <c r="I906" s="4">
        <v>148.59</v>
      </c>
      <c r="J906">
        <v>1</v>
      </c>
      <c r="K906" s="2">
        <v>0.3</v>
      </c>
      <c r="L906" s="4">
        <v>-1.57</v>
      </c>
      <c r="M906" t="s">
        <v>107</v>
      </c>
      <c r="N906" t="s">
        <v>39</v>
      </c>
      <c r="O906">
        <f>YEAR(Table1[[#This Row],[Order Date]])</f>
        <v>2025</v>
      </c>
      <c r="P906" t="str">
        <f>TEXT(Table1[[#This Row],[Order Date]],"mmmm")</f>
        <v>January</v>
      </c>
      <c r="Q906" t="str">
        <f>TEXT(Table1[[#This Row],[Order Date]],"mm")</f>
        <v>01</v>
      </c>
      <c r="R906" s="2">
        <f>Table1[[#This Row],[Profit]]/Table1[[#This Row],[Sales]]</f>
        <v>-1.05659869439397E-2</v>
      </c>
      <c r="S906" t="str">
        <f t="shared" si="14"/>
        <v>High (21-30%)</v>
      </c>
    </row>
    <row r="907" spans="1:19" x14ac:dyDescent="0.2">
      <c r="A907" t="s">
        <v>1713</v>
      </c>
      <c r="B907" s="3" t="s">
        <v>417</v>
      </c>
      <c r="C907" t="s">
        <v>275</v>
      </c>
      <c r="D907" t="s">
        <v>137</v>
      </c>
      <c r="E907" t="s">
        <v>142</v>
      </c>
      <c r="F907" t="s">
        <v>55</v>
      </c>
      <c r="G907" t="s">
        <v>98</v>
      </c>
      <c r="H907" t="s">
        <v>99</v>
      </c>
      <c r="I907" s="4">
        <v>6047.02</v>
      </c>
      <c r="J907">
        <v>7</v>
      </c>
      <c r="K907" s="2">
        <v>0.3</v>
      </c>
      <c r="L907" s="4">
        <v>119.04</v>
      </c>
      <c r="M907" t="s">
        <v>38</v>
      </c>
      <c r="N907" t="s">
        <v>32</v>
      </c>
      <c r="O907">
        <f>YEAR(Table1[[#This Row],[Order Date]])</f>
        <v>2024</v>
      </c>
      <c r="P907" t="str">
        <f>TEXT(Table1[[#This Row],[Order Date]],"mmmm")</f>
        <v>March</v>
      </c>
      <c r="Q907" t="str">
        <f>TEXT(Table1[[#This Row],[Order Date]],"mm")</f>
        <v>03</v>
      </c>
      <c r="R907" s="2">
        <f>Table1[[#This Row],[Profit]]/Table1[[#This Row],[Sales]]</f>
        <v>1.9685729499819747E-2</v>
      </c>
      <c r="S907" t="str">
        <f t="shared" si="14"/>
        <v>High (21-30%)</v>
      </c>
    </row>
    <row r="908" spans="1:19" x14ac:dyDescent="0.2">
      <c r="A908" t="s">
        <v>1714</v>
      </c>
      <c r="B908" s="3" t="s">
        <v>1153</v>
      </c>
      <c r="C908" t="s">
        <v>1294</v>
      </c>
      <c r="D908" t="s">
        <v>137</v>
      </c>
      <c r="E908" t="s">
        <v>242</v>
      </c>
      <c r="F908" t="s">
        <v>67</v>
      </c>
      <c r="G908" t="s">
        <v>68</v>
      </c>
      <c r="H908" t="s">
        <v>103</v>
      </c>
      <c r="I908" s="4">
        <v>288.44</v>
      </c>
      <c r="J908">
        <v>1</v>
      </c>
      <c r="K908" s="2">
        <v>0</v>
      </c>
      <c r="L908" s="4">
        <v>110.8</v>
      </c>
      <c r="M908" t="s">
        <v>44</v>
      </c>
      <c r="N908" t="s">
        <v>76</v>
      </c>
      <c r="O908">
        <f>YEAR(Table1[[#This Row],[Order Date]])</f>
        <v>2024</v>
      </c>
      <c r="P908" t="str">
        <f>TEXT(Table1[[#This Row],[Order Date]],"mmmm")</f>
        <v>June</v>
      </c>
      <c r="Q908" t="str">
        <f>TEXT(Table1[[#This Row],[Order Date]],"mm")</f>
        <v>06</v>
      </c>
      <c r="R908" s="2">
        <f>Table1[[#This Row],[Profit]]/Table1[[#This Row],[Sales]]</f>
        <v>0.38413534877270833</v>
      </c>
      <c r="S908" t="str">
        <f t="shared" si="14"/>
        <v>No Discount</v>
      </c>
    </row>
    <row r="909" spans="1:19" x14ac:dyDescent="0.2">
      <c r="A909" t="s">
        <v>1715</v>
      </c>
      <c r="B909" s="3" t="s">
        <v>105</v>
      </c>
      <c r="C909" t="s">
        <v>335</v>
      </c>
      <c r="D909" t="s">
        <v>137</v>
      </c>
      <c r="E909" t="s">
        <v>160</v>
      </c>
      <c r="F909" t="s">
        <v>67</v>
      </c>
      <c r="G909" t="s">
        <v>115</v>
      </c>
      <c r="H909" t="s">
        <v>116</v>
      </c>
      <c r="I909" s="4">
        <v>651.67999999999995</v>
      </c>
      <c r="J909">
        <v>2</v>
      </c>
      <c r="K909" s="2">
        <v>0.1</v>
      </c>
      <c r="L909" s="4">
        <v>81.260000000000005</v>
      </c>
      <c r="M909" t="s">
        <v>117</v>
      </c>
      <c r="N909" t="s">
        <v>23</v>
      </c>
      <c r="O909">
        <f>YEAR(Table1[[#This Row],[Order Date]])</f>
        <v>2025</v>
      </c>
      <c r="P909" t="str">
        <f>TEXT(Table1[[#This Row],[Order Date]],"mmmm")</f>
        <v>March</v>
      </c>
      <c r="Q909" t="str">
        <f>TEXT(Table1[[#This Row],[Order Date]],"mm")</f>
        <v>03</v>
      </c>
      <c r="R909" s="2">
        <f>Table1[[#This Row],[Profit]]/Table1[[#This Row],[Sales]]</f>
        <v>0.12469310090842133</v>
      </c>
      <c r="S909" t="str">
        <f t="shared" si="14"/>
        <v>Low (1-10%)</v>
      </c>
    </row>
    <row r="910" spans="1:19" x14ac:dyDescent="0.2">
      <c r="A910" t="s">
        <v>1716</v>
      </c>
      <c r="B910" s="3" t="s">
        <v>1717</v>
      </c>
      <c r="C910" t="s">
        <v>346</v>
      </c>
      <c r="D910" t="s">
        <v>27</v>
      </c>
      <c r="E910" t="s">
        <v>28</v>
      </c>
      <c r="F910" t="s">
        <v>55</v>
      </c>
      <c r="G910" t="s">
        <v>74</v>
      </c>
      <c r="H910" t="s">
        <v>75</v>
      </c>
      <c r="I910" s="4">
        <v>2612.94</v>
      </c>
      <c r="J910">
        <v>6</v>
      </c>
      <c r="K910" s="2">
        <v>0.15</v>
      </c>
      <c r="L910" s="4">
        <v>589.05999999999995</v>
      </c>
      <c r="M910" t="s">
        <v>63</v>
      </c>
      <c r="N910" t="s">
        <v>39</v>
      </c>
      <c r="O910">
        <f>YEAR(Table1[[#This Row],[Order Date]])</f>
        <v>2024</v>
      </c>
      <c r="P910" t="str">
        <f>TEXT(Table1[[#This Row],[Order Date]],"mmmm")</f>
        <v>August</v>
      </c>
      <c r="Q910" t="str">
        <f>TEXT(Table1[[#This Row],[Order Date]],"mm")</f>
        <v>08</v>
      </c>
      <c r="R910" s="2">
        <f>Table1[[#This Row],[Profit]]/Table1[[#This Row],[Sales]]</f>
        <v>0.22543954319655252</v>
      </c>
      <c r="S910" t="str">
        <f t="shared" si="14"/>
        <v>Medium (11-20%)</v>
      </c>
    </row>
    <row r="911" spans="1:19" x14ac:dyDescent="0.2">
      <c r="A911" t="s">
        <v>1718</v>
      </c>
      <c r="B911" s="3" t="s">
        <v>497</v>
      </c>
      <c r="C911" t="s">
        <v>265</v>
      </c>
      <c r="D911" t="s">
        <v>48</v>
      </c>
      <c r="E911" t="s">
        <v>73</v>
      </c>
      <c r="F911" t="s">
        <v>19</v>
      </c>
      <c r="G911" t="s">
        <v>20</v>
      </c>
      <c r="H911" t="s">
        <v>21</v>
      </c>
      <c r="I911" s="4">
        <v>1774.28</v>
      </c>
      <c r="J911">
        <v>2</v>
      </c>
      <c r="K911" s="2">
        <v>0.05</v>
      </c>
      <c r="L911" s="4">
        <v>260.43</v>
      </c>
      <c r="M911" t="s">
        <v>38</v>
      </c>
      <c r="N911" t="s">
        <v>23</v>
      </c>
      <c r="O911">
        <f>YEAR(Table1[[#This Row],[Order Date]])</f>
        <v>2025</v>
      </c>
      <c r="P911" t="str">
        <f>TEXT(Table1[[#This Row],[Order Date]],"mmmm")</f>
        <v>December</v>
      </c>
      <c r="Q911" t="str">
        <f>TEXT(Table1[[#This Row],[Order Date]],"mm")</f>
        <v>12</v>
      </c>
      <c r="R911" s="2">
        <f>Table1[[#This Row],[Profit]]/Table1[[#This Row],[Sales]]</f>
        <v>0.14678066596027686</v>
      </c>
      <c r="S911" t="str">
        <f t="shared" si="14"/>
        <v>Low (1-10%)</v>
      </c>
    </row>
    <row r="912" spans="1:19" x14ac:dyDescent="0.2">
      <c r="A912" t="s">
        <v>1719</v>
      </c>
      <c r="B912" s="3" t="s">
        <v>1720</v>
      </c>
      <c r="C912" t="s">
        <v>618</v>
      </c>
      <c r="D912" t="s">
        <v>27</v>
      </c>
      <c r="E912" t="s">
        <v>124</v>
      </c>
      <c r="F912" t="s">
        <v>19</v>
      </c>
      <c r="G912" t="s">
        <v>20</v>
      </c>
      <c r="H912" t="s">
        <v>347</v>
      </c>
      <c r="I912" s="4">
        <v>4639.95</v>
      </c>
      <c r="J912">
        <v>9</v>
      </c>
      <c r="K912" s="2">
        <v>0.25</v>
      </c>
      <c r="L912" s="4">
        <v>-505.14</v>
      </c>
      <c r="M912" t="s">
        <v>107</v>
      </c>
      <c r="N912" t="s">
        <v>76</v>
      </c>
      <c r="O912">
        <f>YEAR(Table1[[#This Row],[Order Date]])</f>
        <v>2024</v>
      </c>
      <c r="P912" t="str">
        <f>TEXT(Table1[[#This Row],[Order Date]],"mmmm")</f>
        <v>November</v>
      </c>
      <c r="Q912" t="str">
        <f>TEXT(Table1[[#This Row],[Order Date]],"mm")</f>
        <v>11</v>
      </c>
      <c r="R912" s="2">
        <f>Table1[[#This Row],[Profit]]/Table1[[#This Row],[Sales]]</f>
        <v>-0.10886755245207384</v>
      </c>
      <c r="S912" t="str">
        <f t="shared" si="14"/>
        <v>High (21-30%)</v>
      </c>
    </row>
    <row r="913" spans="1:19" x14ac:dyDescent="0.2">
      <c r="A913" t="s">
        <v>1721</v>
      </c>
      <c r="B913" s="3" t="s">
        <v>1722</v>
      </c>
      <c r="C913" t="s">
        <v>640</v>
      </c>
      <c r="D913" t="s">
        <v>137</v>
      </c>
      <c r="E913" t="s">
        <v>160</v>
      </c>
      <c r="F913" t="s">
        <v>67</v>
      </c>
      <c r="G913" t="s">
        <v>68</v>
      </c>
      <c r="H913" t="s">
        <v>382</v>
      </c>
      <c r="I913" s="4">
        <v>1648.02</v>
      </c>
      <c r="J913">
        <v>2</v>
      </c>
      <c r="K913" s="2">
        <v>0.15</v>
      </c>
      <c r="L913" s="4">
        <v>68.25</v>
      </c>
      <c r="M913" t="s">
        <v>22</v>
      </c>
      <c r="N913" t="s">
        <v>23</v>
      </c>
      <c r="O913">
        <f>YEAR(Table1[[#This Row],[Order Date]])</f>
        <v>2025</v>
      </c>
      <c r="P913" t="str">
        <f>TEXT(Table1[[#This Row],[Order Date]],"mmmm")</f>
        <v>February</v>
      </c>
      <c r="Q913" t="str">
        <f>TEXT(Table1[[#This Row],[Order Date]],"mm")</f>
        <v>02</v>
      </c>
      <c r="R913" s="2">
        <f>Table1[[#This Row],[Profit]]/Table1[[#This Row],[Sales]]</f>
        <v>4.1413332362471328E-2</v>
      </c>
      <c r="S913" t="str">
        <f t="shared" si="14"/>
        <v>Medium (11-20%)</v>
      </c>
    </row>
    <row r="914" spans="1:19" x14ac:dyDescent="0.2">
      <c r="A914" t="s">
        <v>1723</v>
      </c>
      <c r="B914" s="3" t="s">
        <v>171</v>
      </c>
      <c r="C914" t="s">
        <v>693</v>
      </c>
      <c r="D914" t="s">
        <v>17</v>
      </c>
      <c r="E914" t="s">
        <v>54</v>
      </c>
      <c r="F914" t="s">
        <v>55</v>
      </c>
      <c r="G914" t="s">
        <v>56</v>
      </c>
      <c r="H914" t="s">
        <v>62</v>
      </c>
      <c r="I914" s="4">
        <v>571.32000000000005</v>
      </c>
      <c r="J914">
        <v>9</v>
      </c>
      <c r="K914" s="2">
        <v>0.05</v>
      </c>
      <c r="L914" s="4">
        <v>15.96</v>
      </c>
      <c r="M914" t="s">
        <v>38</v>
      </c>
      <c r="N914" t="s">
        <v>39</v>
      </c>
      <c r="O914">
        <f>YEAR(Table1[[#This Row],[Order Date]])</f>
        <v>2024</v>
      </c>
      <c r="P914" t="str">
        <f>TEXT(Table1[[#This Row],[Order Date]],"mmmm")</f>
        <v>July</v>
      </c>
      <c r="Q914" t="str">
        <f>TEXT(Table1[[#This Row],[Order Date]],"mm")</f>
        <v>07</v>
      </c>
      <c r="R914" s="2">
        <f>Table1[[#This Row],[Profit]]/Table1[[#This Row],[Sales]]</f>
        <v>2.7935307708464606E-2</v>
      </c>
      <c r="S914" t="str">
        <f t="shared" si="14"/>
        <v>Low (1-10%)</v>
      </c>
    </row>
    <row r="915" spans="1:19" x14ac:dyDescent="0.2">
      <c r="A915" t="s">
        <v>1724</v>
      </c>
      <c r="B915" s="3" t="s">
        <v>1090</v>
      </c>
      <c r="C915" t="s">
        <v>319</v>
      </c>
      <c r="D915" t="s">
        <v>137</v>
      </c>
      <c r="E915" t="s">
        <v>242</v>
      </c>
      <c r="F915" t="s">
        <v>55</v>
      </c>
      <c r="G915" t="s">
        <v>74</v>
      </c>
      <c r="H915" t="s">
        <v>133</v>
      </c>
      <c r="I915" s="4">
        <v>5467.49</v>
      </c>
      <c r="J915">
        <v>7</v>
      </c>
      <c r="K915" s="2">
        <v>0.2</v>
      </c>
      <c r="L915" s="4">
        <v>1046.26</v>
      </c>
      <c r="M915" t="s">
        <v>22</v>
      </c>
      <c r="N915" t="s">
        <v>32</v>
      </c>
      <c r="O915">
        <f>YEAR(Table1[[#This Row],[Order Date]])</f>
        <v>2024</v>
      </c>
      <c r="P915" t="str">
        <f>TEXT(Table1[[#This Row],[Order Date]],"mmmm")</f>
        <v>October</v>
      </c>
      <c r="Q915" t="str">
        <f>TEXT(Table1[[#This Row],[Order Date]],"mm")</f>
        <v>10</v>
      </c>
      <c r="R915" s="2">
        <f>Table1[[#This Row],[Profit]]/Table1[[#This Row],[Sales]]</f>
        <v>0.19136020367664139</v>
      </c>
      <c r="S915" t="str">
        <f t="shared" si="14"/>
        <v>Medium (11-20%)</v>
      </c>
    </row>
    <row r="916" spans="1:19" x14ac:dyDescent="0.2">
      <c r="A916" t="s">
        <v>1725</v>
      </c>
      <c r="B916" s="3" t="s">
        <v>612</v>
      </c>
      <c r="C916" t="s">
        <v>959</v>
      </c>
      <c r="D916" t="s">
        <v>17</v>
      </c>
      <c r="E916" t="s">
        <v>80</v>
      </c>
      <c r="F916" t="s">
        <v>55</v>
      </c>
      <c r="G916" t="s">
        <v>74</v>
      </c>
      <c r="H916" t="s">
        <v>75</v>
      </c>
      <c r="I916" s="4">
        <v>701.82</v>
      </c>
      <c r="J916">
        <v>1</v>
      </c>
      <c r="K916" s="2">
        <v>0.05</v>
      </c>
      <c r="L916" s="4">
        <v>279.10000000000002</v>
      </c>
      <c r="M916" t="s">
        <v>117</v>
      </c>
      <c r="N916" t="s">
        <v>32</v>
      </c>
      <c r="O916">
        <f>YEAR(Table1[[#This Row],[Order Date]])</f>
        <v>2025</v>
      </c>
      <c r="P916" t="str">
        <f>TEXT(Table1[[#This Row],[Order Date]],"mmmm")</f>
        <v>November</v>
      </c>
      <c r="Q916" t="str">
        <f>TEXT(Table1[[#This Row],[Order Date]],"mm")</f>
        <v>11</v>
      </c>
      <c r="R916" s="2">
        <f>Table1[[#This Row],[Profit]]/Table1[[#This Row],[Sales]]</f>
        <v>0.39768031689037076</v>
      </c>
      <c r="S916" t="str">
        <f t="shared" si="14"/>
        <v>Low (1-10%)</v>
      </c>
    </row>
    <row r="917" spans="1:19" x14ac:dyDescent="0.2">
      <c r="A917" t="s">
        <v>1726</v>
      </c>
      <c r="B917" s="3" t="s">
        <v>255</v>
      </c>
      <c r="C917" t="s">
        <v>843</v>
      </c>
      <c r="D917" t="s">
        <v>27</v>
      </c>
      <c r="E917" t="s">
        <v>43</v>
      </c>
      <c r="F917" t="s">
        <v>55</v>
      </c>
      <c r="G917" t="s">
        <v>98</v>
      </c>
      <c r="H917" t="s">
        <v>150</v>
      </c>
      <c r="I917" s="4">
        <v>1064.96</v>
      </c>
      <c r="J917">
        <v>1</v>
      </c>
      <c r="K917" s="2">
        <v>0</v>
      </c>
      <c r="L917" s="4">
        <v>476.95</v>
      </c>
      <c r="M917" t="s">
        <v>63</v>
      </c>
      <c r="N917" t="s">
        <v>39</v>
      </c>
      <c r="O917">
        <f>YEAR(Table1[[#This Row],[Order Date]])</f>
        <v>2024</v>
      </c>
      <c r="P917" t="str">
        <f>TEXT(Table1[[#This Row],[Order Date]],"mmmm")</f>
        <v>April</v>
      </c>
      <c r="Q917" t="str">
        <f>TEXT(Table1[[#This Row],[Order Date]],"mm")</f>
        <v>04</v>
      </c>
      <c r="R917" s="2">
        <f>Table1[[#This Row],[Profit]]/Table1[[#This Row],[Sales]]</f>
        <v>0.44785719651442307</v>
      </c>
      <c r="S917" t="str">
        <f t="shared" si="14"/>
        <v>No Discount</v>
      </c>
    </row>
    <row r="918" spans="1:19" x14ac:dyDescent="0.2">
      <c r="A918" t="s">
        <v>1727</v>
      </c>
      <c r="B918" s="3" t="s">
        <v>1728</v>
      </c>
      <c r="C918" t="s">
        <v>678</v>
      </c>
      <c r="D918" t="s">
        <v>27</v>
      </c>
      <c r="E918" t="s">
        <v>28</v>
      </c>
      <c r="F918" t="s">
        <v>19</v>
      </c>
      <c r="G918" t="s">
        <v>29</v>
      </c>
      <c r="H918" t="s">
        <v>199</v>
      </c>
      <c r="I918" s="4">
        <v>2673.86</v>
      </c>
      <c r="J918">
        <v>7</v>
      </c>
      <c r="K918" s="2">
        <v>0.1</v>
      </c>
      <c r="L918" s="4">
        <v>-7.05</v>
      </c>
      <c r="M918" t="s">
        <v>38</v>
      </c>
      <c r="N918" t="s">
        <v>23</v>
      </c>
      <c r="O918">
        <f>YEAR(Table1[[#This Row],[Order Date]])</f>
        <v>2025</v>
      </c>
      <c r="P918" t="str">
        <f>TEXT(Table1[[#This Row],[Order Date]],"mmmm")</f>
        <v>April</v>
      </c>
      <c r="Q918" t="str">
        <f>TEXT(Table1[[#This Row],[Order Date]],"mm")</f>
        <v>04</v>
      </c>
      <c r="R918" s="2">
        <f>Table1[[#This Row],[Profit]]/Table1[[#This Row],[Sales]]</f>
        <v>-2.6366376698854837E-3</v>
      </c>
      <c r="S918" t="str">
        <f t="shared" si="14"/>
        <v>Low (1-10%)</v>
      </c>
    </row>
    <row r="919" spans="1:19" x14ac:dyDescent="0.2">
      <c r="A919" t="s">
        <v>1729</v>
      </c>
      <c r="B919" s="3" t="s">
        <v>820</v>
      </c>
      <c r="C919" t="s">
        <v>358</v>
      </c>
      <c r="D919" t="s">
        <v>137</v>
      </c>
      <c r="E919" t="s">
        <v>242</v>
      </c>
      <c r="F919" t="s">
        <v>67</v>
      </c>
      <c r="G919" t="s">
        <v>85</v>
      </c>
      <c r="H919" t="s">
        <v>86</v>
      </c>
      <c r="I919" s="4">
        <v>2818.3</v>
      </c>
      <c r="J919">
        <v>5</v>
      </c>
      <c r="K919" s="2">
        <v>0.05</v>
      </c>
      <c r="L919" s="4">
        <v>1123.68</v>
      </c>
      <c r="M919" t="s">
        <v>195</v>
      </c>
      <c r="N919" t="s">
        <v>39</v>
      </c>
      <c r="O919">
        <f>YEAR(Table1[[#This Row],[Order Date]])</f>
        <v>2025</v>
      </c>
      <c r="P919" t="str">
        <f>TEXT(Table1[[#This Row],[Order Date]],"mmmm")</f>
        <v>May</v>
      </c>
      <c r="Q919" t="str">
        <f>TEXT(Table1[[#This Row],[Order Date]],"mm")</f>
        <v>05</v>
      </c>
      <c r="R919" s="2">
        <f>Table1[[#This Row],[Profit]]/Table1[[#This Row],[Sales]]</f>
        <v>0.39870844125891497</v>
      </c>
      <c r="S919" t="str">
        <f t="shared" si="14"/>
        <v>Low (1-10%)</v>
      </c>
    </row>
    <row r="920" spans="1:19" x14ac:dyDescent="0.2">
      <c r="A920" t="s">
        <v>1730</v>
      </c>
      <c r="B920" s="3" t="s">
        <v>1731</v>
      </c>
      <c r="C920" t="s">
        <v>1075</v>
      </c>
      <c r="D920" t="s">
        <v>17</v>
      </c>
      <c r="E920" t="s">
        <v>54</v>
      </c>
      <c r="F920" t="s">
        <v>55</v>
      </c>
      <c r="G920" t="s">
        <v>98</v>
      </c>
      <c r="H920" t="s">
        <v>99</v>
      </c>
      <c r="I920" s="4">
        <v>349.05</v>
      </c>
      <c r="J920">
        <v>3</v>
      </c>
      <c r="K920" s="2">
        <v>0.2</v>
      </c>
      <c r="L920" s="4">
        <v>73.260000000000005</v>
      </c>
      <c r="M920" t="s">
        <v>63</v>
      </c>
      <c r="N920" t="s">
        <v>76</v>
      </c>
      <c r="O920">
        <f>YEAR(Table1[[#This Row],[Order Date]])</f>
        <v>2024</v>
      </c>
      <c r="P920" t="str">
        <f>TEXT(Table1[[#This Row],[Order Date]],"mmmm")</f>
        <v>May</v>
      </c>
      <c r="Q920" t="str">
        <f>TEXT(Table1[[#This Row],[Order Date]],"mm")</f>
        <v>05</v>
      </c>
      <c r="R920" s="2">
        <f>Table1[[#This Row],[Profit]]/Table1[[#This Row],[Sales]]</f>
        <v>0.20988397077782553</v>
      </c>
      <c r="S920" t="str">
        <f t="shared" si="14"/>
        <v>Medium (11-20%)</v>
      </c>
    </row>
    <row r="921" spans="1:19" x14ac:dyDescent="0.2">
      <c r="A921" t="s">
        <v>1732</v>
      </c>
      <c r="B921" s="3" t="s">
        <v>665</v>
      </c>
      <c r="C921" t="s">
        <v>1234</v>
      </c>
      <c r="D921" t="s">
        <v>48</v>
      </c>
      <c r="E921" t="s">
        <v>110</v>
      </c>
      <c r="F921" t="s">
        <v>19</v>
      </c>
      <c r="G921" t="s">
        <v>36</v>
      </c>
      <c r="H921" t="s">
        <v>37</v>
      </c>
      <c r="I921" s="4">
        <v>1951.96</v>
      </c>
      <c r="J921">
        <v>4</v>
      </c>
      <c r="K921" s="2">
        <v>0.05</v>
      </c>
      <c r="L921" s="4">
        <v>502.24</v>
      </c>
      <c r="M921" t="s">
        <v>195</v>
      </c>
      <c r="N921" t="s">
        <v>23</v>
      </c>
      <c r="O921">
        <f>YEAR(Table1[[#This Row],[Order Date]])</f>
        <v>2024</v>
      </c>
      <c r="P921" t="str">
        <f>TEXT(Table1[[#This Row],[Order Date]],"mmmm")</f>
        <v>July</v>
      </c>
      <c r="Q921" t="str">
        <f>TEXT(Table1[[#This Row],[Order Date]],"mm")</f>
        <v>07</v>
      </c>
      <c r="R921" s="2">
        <f>Table1[[#This Row],[Profit]]/Table1[[#This Row],[Sales]]</f>
        <v>0.2573003545154614</v>
      </c>
      <c r="S921" t="str">
        <f t="shared" si="14"/>
        <v>Low (1-10%)</v>
      </c>
    </row>
    <row r="922" spans="1:19" x14ac:dyDescent="0.2">
      <c r="A922" t="s">
        <v>1733</v>
      </c>
      <c r="B922" s="3" t="s">
        <v>592</v>
      </c>
      <c r="C922" t="s">
        <v>1474</v>
      </c>
      <c r="D922" t="s">
        <v>27</v>
      </c>
      <c r="E922" t="s">
        <v>28</v>
      </c>
      <c r="F922" t="s">
        <v>55</v>
      </c>
      <c r="G922" t="s">
        <v>98</v>
      </c>
      <c r="H922" t="s">
        <v>99</v>
      </c>
      <c r="I922" s="4">
        <v>2087.5</v>
      </c>
      <c r="J922">
        <v>10</v>
      </c>
      <c r="K922" s="2">
        <v>0.25</v>
      </c>
      <c r="L922" s="4">
        <v>73.41</v>
      </c>
      <c r="M922" t="s">
        <v>22</v>
      </c>
      <c r="N922" t="s">
        <v>32</v>
      </c>
      <c r="O922">
        <f>YEAR(Table1[[#This Row],[Order Date]])</f>
        <v>2024</v>
      </c>
      <c r="P922" t="str">
        <f>TEXT(Table1[[#This Row],[Order Date]],"mmmm")</f>
        <v>August</v>
      </c>
      <c r="Q922" t="str">
        <f>TEXT(Table1[[#This Row],[Order Date]],"mm")</f>
        <v>08</v>
      </c>
      <c r="R922" s="2">
        <f>Table1[[#This Row],[Profit]]/Table1[[#This Row],[Sales]]</f>
        <v>3.5166467065868262E-2</v>
      </c>
      <c r="S922" t="str">
        <f t="shared" si="14"/>
        <v>High (21-30%)</v>
      </c>
    </row>
    <row r="923" spans="1:19" x14ac:dyDescent="0.2">
      <c r="A923" t="s">
        <v>1734</v>
      </c>
      <c r="B923" s="3" t="s">
        <v>1735</v>
      </c>
      <c r="C923" t="s">
        <v>60</v>
      </c>
      <c r="D923" t="s">
        <v>137</v>
      </c>
      <c r="E923" t="s">
        <v>138</v>
      </c>
      <c r="F923" t="s">
        <v>19</v>
      </c>
      <c r="G923" t="s">
        <v>20</v>
      </c>
      <c r="H923" t="s">
        <v>239</v>
      </c>
      <c r="I923" s="4">
        <v>8507.7999999999993</v>
      </c>
      <c r="J923">
        <v>10</v>
      </c>
      <c r="K923" s="2">
        <v>0.2</v>
      </c>
      <c r="L923" s="4">
        <v>1162.6500000000001</v>
      </c>
      <c r="M923" t="s">
        <v>31</v>
      </c>
      <c r="N923" t="s">
        <v>23</v>
      </c>
      <c r="O923">
        <f>YEAR(Table1[[#This Row],[Order Date]])</f>
        <v>2025</v>
      </c>
      <c r="P923" t="str">
        <f>TEXT(Table1[[#This Row],[Order Date]],"mmmm")</f>
        <v>August</v>
      </c>
      <c r="Q923" t="str">
        <f>TEXT(Table1[[#This Row],[Order Date]],"mm")</f>
        <v>08</v>
      </c>
      <c r="R923" s="2">
        <f>Table1[[#This Row],[Profit]]/Table1[[#This Row],[Sales]]</f>
        <v>0.136656950092856</v>
      </c>
      <c r="S923" t="str">
        <f t="shared" si="14"/>
        <v>Medium (11-20%)</v>
      </c>
    </row>
    <row r="924" spans="1:19" x14ac:dyDescent="0.2">
      <c r="A924" t="s">
        <v>1736</v>
      </c>
      <c r="B924" s="3" t="s">
        <v>1000</v>
      </c>
      <c r="C924" t="s">
        <v>771</v>
      </c>
      <c r="D924" t="s">
        <v>48</v>
      </c>
      <c r="E924" t="s">
        <v>110</v>
      </c>
      <c r="F924" t="s">
        <v>55</v>
      </c>
      <c r="G924" t="s">
        <v>56</v>
      </c>
      <c r="H924" t="s">
        <v>62</v>
      </c>
      <c r="I924" s="4">
        <v>4218.3</v>
      </c>
      <c r="J924">
        <v>10</v>
      </c>
      <c r="K924" s="2">
        <v>0.3</v>
      </c>
      <c r="L924" s="4">
        <v>-617.20000000000005</v>
      </c>
      <c r="M924" t="s">
        <v>87</v>
      </c>
      <c r="N924" t="s">
        <v>23</v>
      </c>
      <c r="O924">
        <f>YEAR(Table1[[#This Row],[Order Date]])</f>
        <v>2025</v>
      </c>
      <c r="P924" t="str">
        <f>TEXT(Table1[[#This Row],[Order Date]],"mmmm")</f>
        <v>December</v>
      </c>
      <c r="Q924" t="str">
        <f>TEXT(Table1[[#This Row],[Order Date]],"mm")</f>
        <v>12</v>
      </c>
      <c r="R924" s="2">
        <f>Table1[[#This Row],[Profit]]/Table1[[#This Row],[Sales]]</f>
        <v>-0.14631486617831829</v>
      </c>
      <c r="S924" t="str">
        <f t="shared" si="14"/>
        <v>High (21-30%)</v>
      </c>
    </row>
    <row r="925" spans="1:19" x14ac:dyDescent="0.2">
      <c r="A925" t="s">
        <v>1737</v>
      </c>
      <c r="B925" s="3" t="s">
        <v>1060</v>
      </c>
      <c r="C925" t="s">
        <v>818</v>
      </c>
      <c r="D925" t="s">
        <v>27</v>
      </c>
      <c r="E925" t="s">
        <v>43</v>
      </c>
      <c r="F925" t="s">
        <v>55</v>
      </c>
      <c r="G925" t="s">
        <v>56</v>
      </c>
      <c r="H925" t="s">
        <v>62</v>
      </c>
      <c r="I925" s="4">
        <v>1554.24</v>
      </c>
      <c r="J925">
        <v>3</v>
      </c>
      <c r="K925" s="2">
        <v>0.3</v>
      </c>
      <c r="L925" s="4">
        <v>-364.1</v>
      </c>
      <c r="M925" t="s">
        <v>143</v>
      </c>
      <c r="N925" t="s">
        <v>23</v>
      </c>
      <c r="O925">
        <f>YEAR(Table1[[#This Row],[Order Date]])</f>
        <v>2024</v>
      </c>
      <c r="P925" t="str">
        <f>TEXT(Table1[[#This Row],[Order Date]],"mmmm")</f>
        <v>March</v>
      </c>
      <c r="Q925" t="str">
        <f>TEXT(Table1[[#This Row],[Order Date]],"mm")</f>
        <v>03</v>
      </c>
      <c r="R925" s="2">
        <f>Table1[[#This Row],[Profit]]/Table1[[#This Row],[Sales]]</f>
        <v>-0.23426240477661109</v>
      </c>
      <c r="S925" t="str">
        <f t="shared" si="14"/>
        <v>High (21-30%)</v>
      </c>
    </row>
    <row r="926" spans="1:19" x14ac:dyDescent="0.2">
      <c r="A926" t="s">
        <v>1738</v>
      </c>
      <c r="B926" s="3" t="s">
        <v>1160</v>
      </c>
      <c r="C926" t="s">
        <v>265</v>
      </c>
      <c r="D926" t="s">
        <v>137</v>
      </c>
      <c r="E926" t="s">
        <v>138</v>
      </c>
      <c r="F926" t="s">
        <v>19</v>
      </c>
      <c r="G926" t="s">
        <v>36</v>
      </c>
      <c r="H926" t="s">
        <v>37</v>
      </c>
      <c r="I926" s="4">
        <v>719.61</v>
      </c>
      <c r="J926">
        <v>3</v>
      </c>
      <c r="K926" s="2">
        <v>0.3</v>
      </c>
      <c r="L926" s="4">
        <v>12.75</v>
      </c>
      <c r="M926" t="s">
        <v>44</v>
      </c>
      <c r="N926" t="s">
        <v>23</v>
      </c>
      <c r="O926">
        <f>YEAR(Table1[[#This Row],[Order Date]])</f>
        <v>2024</v>
      </c>
      <c r="P926" t="str">
        <f>TEXT(Table1[[#This Row],[Order Date]],"mmmm")</f>
        <v>December</v>
      </c>
      <c r="Q926" t="str">
        <f>TEXT(Table1[[#This Row],[Order Date]],"mm")</f>
        <v>12</v>
      </c>
      <c r="R926" s="2">
        <f>Table1[[#This Row],[Profit]]/Table1[[#This Row],[Sales]]</f>
        <v>1.771793054571226E-2</v>
      </c>
      <c r="S926" t="str">
        <f t="shared" si="14"/>
        <v>High (21-30%)</v>
      </c>
    </row>
    <row r="927" spans="1:19" x14ac:dyDescent="0.2">
      <c r="A927" t="s">
        <v>1739</v>
      </c>
      <c r="B927" s="3" t="s">
        <v>1087</v>
      </c>
      <c r="C927" t="s">
        <v>157</v>
      </c>
      <c r="D927" t="s">
        <v>137</v>
      </c>
      <c r="E927" t="s">
        <v>142</v>
      </c>
      <c r="F927" t="s">
        <v>55</v>
      </c>
      <c r="G927" t="s">
        <v>56</v>
      </c>
      <c r="H927" t="s">
        <v>129</v>
      </c>
      <c r="I927" s="4">
        <v>491.46</v>
      </c>
      <c r="J927">
        <v>1</v>
      </c>
      <c r="K927" s="2">
        <v>0.3</v>
      </c>
      <c r="L927" s="4">
        <v>-36.65</v>
      </c>
      <c r="M927" t="s">
        <v>195</v>
      </c>
      <c r="N927" t="s">
        <v>32</v>
      </c>
      <c r="O927">
        <f>YEAR(Table1[[#This Row],[Order Date]])</f>
        <v>2024</v>
      </c>
      <c r="P927" t="str">
        <f>TEXT(Table1[[#This Row],[Order Date]],"mmmm")</f>
        <v>March</v>
      </c>
      <c r="Q927" t="str">
        <f>TEXT(Table1[[#This Row],[Order Date]],"mm")</f>
        <v>03</v>
      </c>
      <c r="R927" s="2">
        <f>Table1[[#This Row],[Profit]]/Table1[[#This Row],[Sales]]</f>
        <v>-7.4573719122614249E-2</v>
      </c>
      <c r="S927" t="str">
        <f t="shared" si="14"/>
        <v>High (21-30%)</v>
      </c>
    </row>
    <row r="928" spans="1:19" x14ac:dyDescent="0.2">
      <c r="A928" t="s">
        <v>1740</v>
      </c>
      <c r="B928" s="3" t="s">
        <v>600</v>
      </c>
      <c r="C928" t="s">
        <v>859</v>
      </c>
      <c r="D928" t="s">
        <v>48</v>
      </c>
      <c r="E928" t="s">
        <v>49</v>
      </c>
      <c r="F928" t="s">
        <v>19</v>
      </c>
      <c r="G928" t="s">
        <v>29</v>
      </c>
      <c r="H928" t="s">
        <v>199</v>
      </c>
      <c r="I928" s="4">
        <v>497.46</v>
      </c>
      <c r="J928">
        <v>6</v>
      </c>
      <c r="K928" s="2">
        <v>0.05</v>
      </c>
      <c r="L928" s="4">
        <v>132.93</v>
      </c>
      <c r="M928" t="s">
        <v>44</v>
      </c>
      <c r="N928" t="s">
        <v>32</v>
      </c>
      <c r="O928">
        <f>YEAR(Table1[[#This Row],[Order Date]])</f>
        <v>2025</v>
      </c>
      <c r="P928" t="str">
        <f>TEXT(Table1[[#This Row],[Order Date]],"mmmm")</f>
        <v>October</v>
      </c>
      <c r="Q928" t="str">
        <f>TEXT(Table1[[#This Row],[Order Date]],"mm")</f>
        <v>10</v>
      </c>
      <c r="R928" s="2">
        <f>Table1[[#This Row],[Profit]]/Table1[[#This Row],[Sales]]</f>
        <v>0.26721746472078162</v>
      </c>
      <c r="S928" t="str">
        <f t="shared" si="14"/>
        <v>Low (1-10%)</v>
      </c>
    </row>
    <row r="929" spans="1:19" x14ac:dyDescent="0.2">
      <c r="A929" t="s">
        <v>1741</v>
      </c>
      <c r="B929" s="3" t="s">
        <v>1742</v>
      </c>
      <c r="C929" t="s">
        <v>228</v>
      </c>
      <c r="D929" t="s">
        <v>27</v>
      </c>
      <c r="E929" t="s">
        <v>43</v>
      </c>
      <c r="F929" t="s">
        <v>67</v>
      </c>
      <c r="G929" t="s">
        <v>68</v>
      </c>
      <c r="H929" t="s">
        <v>103</v>
      </c>
      <c r="I929" s="4">
        <v>793.62</v>
      </c>
      <c r="J929">
        <v>2</v>
      </c>
      <c r="K929" s="2">
        <v>0.15</v>
      </c>
      <c r="L929" s="4">
        <v>14.12</v>
      </c>
      <c r="M929" t="s">
        <v>107</v>
      </c>
      <c r="N929" t="s">
        <v>32</v>
      </c>
      <c r="O929">
        <f>YEAR(Table1[[#This Row],[Order Date]])</f>
        <v>2024</v>
      </c>
      <c r="P929" t="str">
        <f>TEXT(Table1[[#This Row],[Order Date]],"mmmm")</f>
        <v>November</v>
      </c>
      <c r="Q929" t="str">
        <f>TEXT(Table1[[#This Row],[Order Date]],"mm")</f>
        <v>11</v>
      </c>
      <c r="R929" s="2">
        <f>Table1[[#This Row],[Profit]]/Table1[[#This Row],[Sales]]</f>
        <v>1.7791890325344624E-2</v>
      </c>
      <c r="S929" t="str">
        <f t="shared" si="14"/>
        <v>Medium (11-20%)</v>
      </c>
    </row>
    <row r="930" spans="1:19" x14ac:dyDescent="0.2">
      <c r="A930" t="s">
        <v>1743</v>
      </c>
      <c r="B930" s="3" t="s">
        <v>407</v>
      </c>
      <c r="C930" t="s">
        <v>262</v>
      </c>
      <c r="D930" t="s">
        <v>17</v>
      </c>
      <c r="E930" t="s">
        <v>80</v>
      </c>
      <c r="F930" t="s">
        <v>19</v>
      </c>
      <c r="G930" t="s">
        <v>29</v>
      </c>
      <c r="H930" t="s">
        <v>30</v>
      </c>
      <c r="I930" s="4">
        <v>2120.12</v>
      </c>
      <c r="J930">
        <v>2</v>
      </c>
      <c r="K930" s="2">
        <v>0.15</v>
      </c>
      <c r="L930" s="4">
        <v>540.85</v>
      </c>
      <c r="M930" t="s">
        <v>87</v>
      </c>
      <c r="N930" t="s">
        <v>39</v>
      </c>
      <c r="O930">
        <f>YEAR(Table1[[#This Row],[Order Date]])</f>
        <v>2024</v>
      </c>
      <c r="P930" t="str">
        <f>TEXT(Table1[[#This Row],[Order Date]],"mmmm")</f>
        <v>March</v>
      </c>
      <c r="Q930" t="str">
        <f>TEXT(Table1[[#This Row],[Order Date]],"mm")</f>
        <v>03</v>
      </c>
      <c r="R930" s="2">
        <f>Table1[[#This Row],[Profit]]/Table1[[#This Row],[Sales]]</f>
        <v>0.25510348470841276</v>
      </c>
      <c r="S930" t="str">
        <f t="shared" si="14"/>
        <v>Medium (11-20%)</v>
      </c>
    </row>
    <row r="931" spans="1:19" x14ac:dyDescent="0.2">
      <c r="A931" t="s">
        <v>1744</v>
      </c>
      <c r="B931" s="3" t="s">
        <v>1745</v>
      </c>
      <c r="C931" t="s">
        <v>271</v>
      </c>
      <c r="D931" t="s">
        <v>48</v>
      </c>
      <c r="E931" t="s">
        <v>49</v>
      </c>
      <c r="F931" t="s">
        <v>55</v>
      </c>
      <c r="G931" t="s">
        <v>98</v>
      </c>
      <c r="H931" t="s">
        <v>154</v>
      </c>
      <c r="I931" s="4">
        <v>3359.31</v>
      </c>
      <c r="J931">
        <v>3</v>
      </c>
      <c r="K931" s="2">
        <v>0.15</v>
      </c>
      <c r="L931" s="4">
        <v>782.62</v>
      </c>
      <c r="M931" t="s">
        <v>63</v>
      </c>
      <c r="N931" t="s">
        <v>76</v>
      </c>
      <c r="O931">
        <f>YEAR(Table1[[#This Row],[Order Date]])</f>
        <v>2024</v>
      </c>
      <c r="P931" t="str">
        <f>TEXT(Table1[[#This Row],[Order Date]],"mmmm")</f>
        <v>March</v>
      </c>
      <c r="Q931" t="str">
        <f>TEXT(Table1[[#This Row],[Order Date]],"mm")</f>
        <v>03</v>
      </c>
      <c r="R931" s="2">
        <f>Table1[[#This Row],[Profit]]/Table1[[#This Row],[Sales]]</f>
        <v>0.23297046119590034</v>
      </c>
      <c r="S931" t="str">
        <f t="shared" si="14"/>
        <v>Medium (11-20%)</v>
      </c>
    </row>
    <row r="932" spans="1:19" x14ac:dyDescent="0.2">
      <c r="A932" t="s">
        <v>1746</v>
      </c>
      <c r="B932" s="3" t="s">
        <v>1013</v>
      </c>
      <c r="C932" t="s">
        <v>1205</v>
      </c>
      <c r="D932" t="s">
        <v>27</v>
      </c>
      <c r="E932" t="s">
        <v>43</v>
      </c>
      <c r="F932" t="s">
        <v>55</v>
      </c>
      <c r="G932" t="s">
        <v>56</v>
      </c>
      <c r="H932" t="s">
        <v>57</v>
      </c>
      <c r="I932" s="4">
        <v>309.42</v>
      </c>
      <c r="J932">
        <v>6</v>
      </c>
      <c r="K932" s="2">
        <v>0.25</v>
      </c>
      <c r="L932" s="4">
        <v>-12.68</v>
      </c>
      <c r="M932" t="s">
        <v>87</v>
      </c>
      <c r="N932" t="s">
        <v>39</v>
      </c>
      <c r="O932">
        <f>YEAR(Table1[[#This Row],[Order Date]])</f>
        <v>2025</v>
      </c>
      <c r="P932" t="str">
        <f>TEXT(Table1[[#This Row],[Order Date]],"mmmm")</f>
        <v>September</v>
      </c>
      <c r="Q932" t="str">
        <f>TEXT(Table1[[#This Row],[Order Date]],"mm")</f>
        <v>09</v>
      </c>
      <c r="R932" s="2">
        <f>Table1[[#This Row],[Profit]]/Table1[[#This Row],[Sales]]</f>
        <v>-4.0979897873440627E-2</v>
      </c>
      <c r="S932" t="str">
        <f t="shared" si="14"/>
        <v>High (21-30%)</v>
      </c>
    </row>
    <row r="933" spans="1:19" x14ac:dyDescent="0.2">
      <c r="A933" t="s">
        <v>1747</v>
      </c>
      <c r="B933" s="3" t="s">
        <v>397</v>
      </c>
      <c r="C933" t="s">
        <v>93</v>
      </c>
      <c r="D933" t="s">
        <v>17</v>
      </c>
      <c r="E933" t="s">
        <v>18</v>
      </c>
      <c r="F933" t="s">
        <v>19</v>
      </c>
      <c r="G933" t="s">
        <v>29</v>
      </c>
      <c r="H933" t="s">
        <v>30</v>
      </c>
      <c r="I933" s="4">
        <v>3733</v>
      </c>
      <c r="J933">
        <v>5</v>
      </c>
      <c r="K933" s="2">
        <v>0.2</v>
      </c>
      <c r="L933" s="4">
        <v>397.78</v>
      </c>
      <c r="M933" t="s">
        <v>87</v>
      </c>
      <c r="N933" t="s">
        <v>76</v>
      </c>
      <c r="O933">
        <f>YEAR(Table1[[#This Row],[Order Date]])</f>
        <v>2025</v>
      </c>
      <c r="P933" t="str">
        <f>TEXT(Table1[[#This Row],[Order Date]],"mmmm")</f>
        <v>July</v>
      </c>
      <c r="Q933" t="str">
        <f>TEXT(Table1[[#This Row],[Order Date]],"mm")</f>
        <v>07</v>
      </c>
      <c r="R933" s="2">
        <f>Table1[[#This Row],[Profit]]/Table1[[#This Row],[Sales]]</f>
        <v>0.10655772836860433</v>
      </c>
      <c r="S933" t="str">
        <f t="shared" si="14"/>
        <v>Medium (11-20%)</v>
      </c>
    </row>
    <row r="934" spans="1:19" x14ac:dyDescent="0.2">
      <c r="A934" t="s">
        <v>1748</v>
      </c>
      <c r="B934" s="3" t="s">
        <v>1272</v>
      </c>
      <c r="C934" t="s">
        <v>169</v>
      </c>
      <c r="D934" t="s">
        <v>48</v>
      </c>
      <c r="E934" t="s">
        <v>49</v>
      </c>
      <c r="F934" t="s">
        <v>67</v>
      </c>
      <c r="G934" t="s">
        <v>115</v>
      </c>
      <c r="H934" t="s">
        <v>178</v>
      </c>
      <c r="I934" s="4">
        <v>3694.4</v>
      </c>
      <c r="J934">
        <v>8</v>
      </c>
      <c r="K934" s="2">
        <v>0</v>
      </c>
      <c r="L934" s="4">
        <v>1105.31</v>
      </c>
      <c r="M934" t="s">
        <v>107</v>
      </c>
      <c r="N934" t="s">
        <v>39</v>
      </c>
      <c r="O934">
        <f>YEAR(Table1[[#This Row],[Order Date]])</f>
        <v>2024</v>
      </c>
      <c r="P934" t="str">
        <f>TEXT(Table1[[#This Row],[Order Date]],"mmmm")</f>
        <v>July</v>
      </c>
      <c r="Q934" t="str">
        <f>TEXT(Table1[[#This Row],[Order Date]],"mm")</f>
        <v>07</v>
      </c>
      <c r="R934" s="2">
        <f>Table1[[#This Row],[Profit]]/Table1[[#This Row],[Sales]]</f>
        <v>0.29918525335643131</v>
      </c>
      <c r="S934" t="str">
        <f t="shared" si="14"/>
        <v>No Discount</v>
      </c>
    </row>
    <row r="935" spans="1:19" x14ac:dyDescent="0.2">
      <c r="A935" t="s">
        <v>1749</v>
      </c>
      <c r="B935" s="3" t="s">
        <v>1750</v>
      </c>
      <c r="C935" t="s">
        <v>259</v>
      </c>
      <c r="D935" t="s">
        <v>27</v>
      </c>
      <c r="E935" t="s">
        <v>61</v>
      </c>
      <c r="F935" t="s">
        <v>19</v>
      </c>
      <c r="G935" t="s">
        <v>29</v>
      </c>
      <c r="H935" t="s">
        <v>199</v>
      </c>
      <c r="I935" s="4">
        <v>2061.9</v>
      </c>
      <c r="J935">
        <v>5</v>
      </c>
      <c r="K935" s="2">
        <v>0.1</v>
      </c>
      <c r="L935" s="4">
        <v>576.29</v>
      </c>
      <c r="M935" t="s">
        <v>63</v>
      </c>
      <c r="N935" t="s">
        <v>32</v>
      </c>
      <c r="O935">
        <f>YEAR(Table1[[#This Row],[Order Date]])</f>
        <v>2024</v>
      </c>
      <c r="P935" t="str">
        <f>TEXT(Table1[[#This Row],[Order Date]],"mmmm")</f>
        <v>August</v>
      </c>
      <c r="Q935" t="str">
        <f>TEXT(Table1[[#This Row],[Order Date]],"mm")</f>
        <v>08</v>
      </c>
      <c r="R935" s="2">
        <f>Table1[[#This Row],[Profit]]/Table1[[#This Row],[Sales]]</f>
        <v>0.27949464086522136</v>
      </c>
      <c r="S935" t="str">
        <f t="shared" si="14"/>
        <v>Low (1-10%)</v>
      </c>
    </row>
    <row r="936" spans="1:19" x14ac:dyDescent="0.2">
      <c r="A936" t="s">
        <v>1751</v>
      </c>
      <c r="B936" s="3" t="s">
        <v>224</v>
      </c>
      <c r="C936" t="s">
        <v>530</v>
      </c>
      <c r="D936" t="s">
        <v>27</v>
      </c>
      <c r="E936" t="s">
        <v>124</v>
      </c>
      <c r="F936" t="s">
        <v>19</v>
      </c>
      <c r="G936" t="s">
        <v>20</v>
      </c>
      <c r="H936" t="s">
        <v>239</v>
      </c>
      <c r="I936" s="4">
        <v>2628.09</v>
      </c>
      <c r="J936">
        <v>3</v>
      </c>
      <c r="K936" s="2">
        <v>0.15</v>
      </c>
      <c r="L936" s="4">
        <v>-148.6</v>
      </c>
      <c r="M936" t="s">
        <v>195</v>
      </c>
      <c r="N936" t="s">
        <v>76</v>
      </c>
      <c r="O936">
        <f>YEAR(Table1[[#This Row],[Order Date]])</f>
        <v>2025</v>
      </c>
      <c r="P936" t="str">
        <f>TEXT(Table1[[#This Row],[Order Date]],"mmmm")</f>
        <v>May</v>
      </c>
      <c r="Q936" t="str">
        <f>TEXT(Table1[[#This Row],[Order Date]],"mm")</f>
        <v>05</v>
      </c>
      <c r="R936" s="2">
        <f>Table1[[#This Row],[Profit]]/Table1[[#This Row],[Sales]]</f>
        <v>-5.65429646625496E-2</v>
      </c>
      <c r="S936" t="str">
        <f t="shared" si="14"/>
        <v>Medium (11-20%)</v>
      </c>
    </row>
    <row r="937" spans="1:19" x14ac:dyDescent="0.2">
      <c r="A937" t="s">
        <v>1752</v>
      </c>
      <c r="B937" s="3" t="s">
        <v>1750</v>
      </c>
      <c r="C937" t="s">
        <v>843</v>
      </c>
      <c r="D937" t="s">
        <v>137</v>
      </c>
      <c r="E937" t="s">
        <v>138</v>
      </c>
      <c r="F937" t="s">
        <v>55</v>
      </c>
      <c r="G937" t="s">
        <v>56</v>
      </c>
      <c r="H937" t="s">
        <v>57</v>
      </c>
      <c r="I937" s="4">
        <v>953.74</v>
      </c>
      <c r="J937">
        <v>1</v>
      </c>
      <c r="K937" s="2">
        <v>0.3</v>
      </c>
      <c r="L937" s="4">
        <v>65.680000000000007</v>
      </c>
      <c r="M937" t="s">
        <v>107</v>
      </c>
      <c r="N937" t="s">
        <v>32</v>
      </c>
      <c r="O937">
        <f>YEAR(Table1[[#This Row],[Order Date]])</f>
        <v>2024</v>
      </c>
      <c r="P937" t="str">
        <f>TEXT(Table1[[#This Row],[Order Date]],"mmmm")</f>
        <v>August</v>
      </c>
      <c r="Q937" t="str">
        <f>TEXT(Table1[[#This Row],[Order Date]],"mm")</f>
        <v>08</v>
      </c>
      <c r="R937" s="2">
        <f>Table1[[#This Row],[Profit]]/Table1[[#This Row],[Sales]]</f>
        <v>6.8865728605280271E-2</v>
      </c>
      <c r="S937" t="str">
        <f t="shared" si="14"/>
        <v>High (21-30%)</v>
      </c>
    </row>
    <row r="938" spans="1:19" x14ac:dyDescent="0.2">
      <c r="A938" t="s">
        <v>1753</v>
      </c>
      <c r="B938" s="3" t="s">
        <v>1754</v>
      </c>
      <c r="C938" t="s">
        <v>53</v>
      </c>
      <c r="D938" t="s">
        <v>27</v>
      </c>
      <c r="E938" t="s">
        <v>61</v>
      </c>
      <c r="F938" t="s">
        <v>19</v>
      </c>
      <c r="G938" t="s">
        <v>36</v>
      </c>
      <c r="H938" t="s">
        <v>222</v>
      </c>
      <c r="I938" s="4">
        <v>189.62</v>
      </c>
      <c r="J938">
        <v>1</v>
      </c>
      <c r="K938" s="2">
        <v>0.15</v>
      </c>
      <c r="L938" s="4">
        <v>-1.1299999999999999</v>
      </c>
      <c r="M938" t="s">
        <v>63</v>
      </c>
      <c r="N938" t="s">
        <v>32</v>
      </c>
      <c r="O938">
        <f>YEAR(Table1[[#This Row],[Order Date]])</f>
        <v>2024</v>
      </c>
      <c r="P938" t="str">
        <f>TEXT(Table1[[#This Row],[Order Date]],"mmmm")</f>
        <v>April</v>
      </c>
      <c r="Q938" t="str">
        <f>TEXT(Table1[[#This Row],[Order Date]],"mm")</f>
        <v>04</v>
      </c>
      <c r="R938" s="2">
        <f>Table1[[#This Row],[Profit]]/Table1[[#This Row],[Sales]]</f>
        <v>-5.959286995042716E-3</v>
      </c>
      <c r="S938" t="str">
        <f t="shared" si="14"/>
        <v>Medium (11-20%)</v>
      </c>
    </row>
    <row r="939" spans="1:19" x14ac:dyDescent="0.2">
      <c r="A939" t="s">
        <v>1755</v>
      </c>
      <c r="B939" s="3" t="s">
        <v>1383</v>
      </c>
      <c r="C939" t="s">
        <v>123</v>
      </c>
      <c r="D939" t="s">
        <v>137</v>
      </c>
      <c r="E939" t="s">
        <v>242</v>
      </c>
      <c r="F939" t="s">
        <v>19</v>
      </c>
      <c r="G939" t="s">
        <v>20</v>
      </c>
      <c r="H939" t="s">
        <v>347</v>
      </c>
      <c r="I939" s="4">
        <v>945.48</v>
      </c>
      <c r="J939">
        <v>1</v>
      </c>
      <c r="K939" s="2">
        <v>0</v>
      </c>
      <c r="L939" s="4">
        <v>352.03</v>
      </c>
      <c r="M939" t="s">
        <v>44</v>
      </c>
      <c r="N939" t="s">
        <v>32</v>
      </c>
      <c r="O939">
        <f>YEAR(Table1[[#This Row],[Order Date]])</f>
        <v>2025</v>
      </c>
      <c r="P939" t="str">
        <f>TEXT(Table1[[#This Row],[Order Date]],"mmmm")</f>
        <v>April</v>
      </c>
      <c r="Q939" t="str">
        <f>TEXT(Table1[[#This Row],[Order Date]],"mm")</f>
        <v>04</v>
      </c>
      <c r="R939" s="2">
        <f>Table1[[#This Row],[Profit]]/Table1[[#This Row],[Sales]]</f>
        <v>0.37232939882387778</v>
      </c>
      <c r="S939" t="str">
        <f t="shared" si="14"/>
        <v>No Discount</v>
      </c>
    </row>
    <row r="940" spans="1:19" x14ac:dyDescent="0.2">
      <c r="A940" t="s">
        <v>1756</v>
      </c>
      <c r="B940" s="3" t="s">
        <v>1483</v>
      </c>
      <c r="C940" t="s">
        <v>1010</v>
      </c>
      <c r="D940" t="s">
        <v>137</v>
      </c>
      <c r="E940" t="s">
        <v>142</v>
      </c>
      <c r="F940" t="s">
        <v>55</v>
      </c>
      <c r="G940" t="s">
        <v>74</v>
      </c>
      <c r="H940" t="s">
        <v>133</v>
      </c>
      <c r="I940" s="4">
        <v>312.27999999999997</v>
      </c>
      <c r="J940">
        <v>1</v>
      </c>
      <c r="K940" s="2">
        <v>0.05</v>
      </c>
      <c r="L940" s="4">
        <v>29.35</v>
      </c>
      <c r="M940" t="s">
        <v>44</v>
      </c>
      <c r="N940" t="s">
        <v>32</v>
      </c>
      <c r="O940">
        <f>YEAR(Table1[[#This Row],[Order Date]])</f>
        <v>2025</v>
      </c>
      <c r="P940" t="str">
        <f>TEXT(Table1[[#This Row],[Order Date]],"mmmm")</f>
        <v>July</v>
      </c>
      <c r="Q940" t="str">
        <f>TEXT(Table1[[#This Row],[Order Date]],"mm")</f>
        <v>07</v>
      </c>
      <c r="R940" s="2">
        <f>Table1[[#This Row],[Profit]]/Table1[[#This Row],[Sales]]</f>
        <v>9.398616626104779E-2</v>
      </c>
      <c r="S940" t="str">
        <f t="shared" si="14"/>
        <v>Low (1-10%)</v>
      </c>
    </row>
    <row r="941" spans="1:19" x14ac:dyDescent="0.2">
      <c r="A941" t="s">
        <v>1757</v>
      </c>
      <c r="B941" s="3" t="s">
        <v>716</v>
      </c>
      <c r="C941" t="s">
        <v>83</v>
      </c>
      <c r="D941" t="s">
        <v>137</v>
      </c>
      <c r="E941" t="s">
        <v>242</v>
      </c>
      <c r="F941" t="s">
        <v>67</v>
      </c>
      <c r="G941" t="s">
        <v>115</v>
      </c>
      <c r="H941" t="s">
        <v>116</v>
      </c>
      <c r="I941" s="4">
        <v>3043.89</v>
      </c>
      <c r="J941">
        <v>3</v>
      </c>
      <c r="K941" s="2">
        <v>0.3</v>
      </c>
      <c r="L941" s="4">
        <v>-219.03</v>
      </c>
      <c r="M941" t="s">
        <v>31</v>
      </c>
      <c r="N941" t="s">
        <v>32</v>
      </c>
      <c r="O941">
        <f>YEAR(Table1[[#This Row],[Order Date]])</f>
        <v>2024</v>
      </c>
      <c r="P941" t="str">
        <f>TEXT(Table1[[#This Row],[Order Date]],"mmmm")</f>
        <v>June</v>
      </c>
      <c r="Q941" t="str">
        <f>TEXT(Table1[[#This Row],[Order Date]],"mm")</f>
        <v>06</v>
      </c>
      <c r="R941" s="2">
        <f>Table1[[#This Row],[Profit]]/Table1[[#This Row],[Sales]]</f>
        <v>-7.1957265209978027E-2</v>
      </c>
      <c r="S941" t="str">
        <f t="shared" si="14"/>
        <v>High (21-30%)</v>
      </c>
    </row>
    <row r="942" spans="1:19" x14ac:dyDescent="0.2">
      <c r="A942" t="s">
        <v>1758</v>
      </c>
      <c r="B942" s="3" t="s">
        <v>1759</v>
      </c>
      <c r="C942" t="s">
        <v>305</v>
      </c>
      <c r="D942" t="s">
        <v>48</v>
      </c>
      <c r="E942" t="s">
        <v>84</v>
      </c>
      <c r="F942" t="s">
        <v>67</v>
      </c>
      <c r="G942" t="s">
        <v>85</v>
      </c>
      <c r="H942" t="s">
        <v>253</v>
      </c>
      <c r="I942" s="4">
        <v>289.92</v>
      </c>
      <c r="J942">
        <v>3</v>
      </c>
      <c r="K942" s="2">
        <v>0.2</v>
      </c>
      <c r="L942" s="4">
        <v>29.27</v>
      </c>
      <c r="M942" t="s">
        <v>107</v>
      </c>
      <c r="N942" t="s">
        <v>39</v>
      </c>
      <c r="O942">
        <f>YEAR(Table1[[#This Row],[Order Date]])</f>
        <v>2024</v>
      </c>
      <c r="P942" t="str">
        <f>TEXT(Table1[[#This Row],[Order Date]],"mmmm")</f>
        <v>May</v>
      </c>
      <c r="Q942" t="str">
        <f>TEXT(Table1[[#This Row],[Order Date]],"mm")</f>
        <v>05</v>
      </c>
      <c r="R942" s="2">
        <f>Table1[[#This Row],[Profit]]/Table1[[#This Row],[Sales]]</f>
        <v>0.10095888520971302</v>
      </c>
      <c r="S942" t="str">
        <f t="shared" si="14"/>
        <v>Medium (11-20%)</v>
      </c>
    </row>
    <row r="943" spans="1:19" x14ac:dyDescent="0.2">
      <c r="A943" t="s">
        <v>1760</v>
      </c>
      <c r="B943" s="3" t="s">
        <v>1000</v>
      </c>
      <c r="C943" t="s">
        <v>439</v>
      </c>
      <c r="D943" t="s">
        <v>48</v>
      </c>
      <c r="E943" t="s">
        <v>84</v>
      </c>
      <c r="F943" t="s">
        <v>19</v>
      </c>
      <c r="G943" t="s">
        <v>29</v>
      </c>
      <c r="H943" t="s">
        <v>199</v>
      </c>
      <c r="I943" s="4">
        <v>937.66</v>
      </c>
      <c r="J943">
        <v>2</v>
      </c>
      <c r="K943" s="2">
        <v>0.2</v>
      </c>
      <c r="L943" s="4">
        <v>194.24</v>
      </c>
      <c r="M943" t="s">
        <v>44</v>
      </c>
      <c r="N943" t="s">
        <v>39</v>
      </c>
      <c r="O943">
        <f>YEAR(Table1[[#This Row],[Order Date]])</f>
        <v>2025</v>
      </c>
      <c r="P943" t="str">
        <f>TEXT(Table1[[#This Row],[Order Date]],"mmmm")</f>
        <v>December</v>
      </c>
      <c r="Q943" t="str">
        <f>TEXT(Table1[[#This Row],[Order Date]],"mm")</f>
        <v>12</v>
      </c>
      <c r="R943" s="2">
        <f>Table1[[#This Row],[Profit]]/Table1[[#This Row],[Sales]]</f>
        <v>0.20715397905424143</v>
      </c>
      <c r="S943" t="str">
        <f t="shared" si="14"/>
        <v>Medium (11-20%)</v>
      </c>
    </row>
    <row r="944" spans="1:19" x14ac:dyDescent="0.2">
      <c r="A944" t="s">
        <v>1761</v>
      </c>
      <c r="B944" s="3" t="s">
        <v>1577</v>
      </c>
      <c r="C944" t="s">
        <v>583</v>
      </c>
      <c r="D944" t="s">
        <v>17</v>
      </c>
      <c r="E944" t="s">
        <v>80</v>
      </c>
      <c r="F944" t="s">
        <v>55</v>
      </c>
      <c r="G944" t="s">
        <v>56</v>
      </c>
      <c r="H944" t="s">
        <v>129</v>
      </c>
      <c r="I944" s="4">
        <v>2311.5500000000002</v>
      </c>
      <c r="J944">
        <v>5</v>
      </c>
      <c r="K944" s="2">
        <v>0.2</v>
      </c>
      <c r="L944" s="4">
        <v>-189.01</v>
      </c>
      <c r="M944" t="s">
        <v>87</v>
      </c>
      <c r="N944" t="s">
        <v>32</v>
      </c>
      <c r="O944">
        <f>YEAR(Table1[[#This Row],[Order Date]])</f>
        <v>2024</v>
      </c>
      <c r="P944" t="str">
        <f>TEXT(Table1[[#This Row],[Order Date]],"mmmm")</f>
        <v>September</v>
      </c>
      <c r="Q944" t="str">
        <f>TEXT(Table1[[#This Row],[Order Date]],"mm")</f>
        <v>09</v>
      </c>
      <c r="R944" s="2">
        <f>Table1[[#This Row],[Profit]]/Table1[[#This Row],[Sales]]</f>
        <v>-8.1767645086630175E-2</v>
      </c>
      <c r="S944" t="str">
        <f t="shared" si="14"/>
        <v>Medium (11-20%)</v>
      </c>
    </row>
    <row r="945" spans="1:19" x14ac:dyDescent="0.2">
      <c r="A945" t="s">
        <v>1762</v>
      </c>
      <c r="B945" s="3" t="s">
        <v>1763</v>
      </c>
      <c r="C945" t="s">
        <v>473</v>
      </c>
      <c r="D945" t="s">
        <v>48</v>
      </c>
      <c r="E945" t="s">
        <v>73</v>
      </c>
      <c r="F945" t="s">
        <v>19</v>
      </c>
      <c r="G945" t="s">
        <v>29</v>
      </c>
      <c r="H945" t="s">
        <v>30</v>
      </c>
      <c r="I945" s="4">
        <v>1437.6</v>
      </c>
      <c r="J945">
        <v>6</v>
      </c>
      <c r="K945" s="2">
        <v>0.2</v>
      </c>
      <c r="L945" s="4">
        <v>24.03</v>
      </c>
      <c r="M945" t="s">
        <v>22</v>
      </c>
      <c r="N945" t="s">
        <v>32</v>
      </c>
      <c r="O945">
        <f>YEAR(Table1[[#This Row],[Order Date]])</f>
        <v>2025</v>
      </c>
      <c r="P945" t="str">
        <f>TEXT(Table1[[#This Row],[Order Date]],"mmmm")</f>
        <v>May</v>
      </c>
      <c r="Q945" t="str">
        <f>TEXT(Table1[[#This Row],[Order Date]],"mm")</f>
        <v>05</v>
      </c>
      <c r="R945" s="2">
        <f>Table1[[#This Row],[Profit]]/Table1[[#This Row],[Sales]]</f>
        <v>1.6715358931552588E-2</v>
      </c>
      <c r="S945" t="str">
        <f t="shared" si="14"/>
        <v>Medium (11-20%)</v>
      </c>
    </row>
    <row r="946" spans="1:19" x14ac:dyDescent="0.2">
      <c r="A946" t="s">
        <v>1764</v>
      </c>
      <c r="B946" s="3" t="s">
        <v>1759</v>
      </c>
      <c r="C946" t="s">
        <v>818</v>
      </c>
      <c r="D946" t="s">
        <v>48</v>
      </c>
      <c r="E946" t="s">
        <v>84</v>
      </c>
      <c r="F946" t="s">
        <v>67</v>
      </c>
      <c r="G946" t="s">
        <v>85</v>
      </c>
      <c r="H946" t="s">
        <v>253</v>
      </c>
      <c r="I946" s="4">
        <v>4037.1</v>
      </c>
      <c r="J946">
        <v>5</v>
      </c>
      <c r="K946" s="2">
        <v>0.15</v>
      </c>
      <c r="L946" s="4">
        <v>247.63</v>
      </c>
      <c r="M946" t="s">
        <v>143</v>
      </c>
      <c r="N946" t="s">
        <v>23</v>
      </c>
      <c r="O946">
        <f>YEAR(Table1[[#This Row],[Order Date]])</f>
        <v>2024</v>
      </c>
      <c r="P946" t="str">
        <f>TEXT(Table1[[#This Row],[Order Date]],"mmmm")</f>
        <v>May</v>
      </c>
      <c r="Q946" t="str">
        <f>TEXT(Table1[[#This Row],[Order Date]],"mm")</f>
        <v>05</v>
      </c>
      <c r="R946" s="2">
        <f>Table1[[#This Row],[Profit]]/Table1[[#This Row],[Sales]]</f>
        <v>6.1338584627579205E-2</v>
      </c>
      <c r="S946" t="str">
        <f t="shared" si="14"/>
        <v>Medium (11-20%)</v>
      </c>
    </row>
    <row r="947" spans="1:19" x14ac:dyDescent="0.2">
      <c r="A947" t="s">
        <v>1765</v>
      </c>
      <c r="B947" s="3" t="s">
        <v>722</v>
      </c>
      <c r="C947" t="s">
        <v>652</v>
      </c>
      <c r="D947" t="s">
        <v>27</v>
      </c>
      <c r="E947" t="s">
        <v>124</v>
      </c>
      <c r="F947" t="s">
        <v>55</v>
      </c>
      <c r="G947" t="s">
        <v>74</v>
      </c>
      <c r="H947" t="s">
        <v>133</v>
      </c>
      <c r="I947" s="4">
        <v>6641.37</v>
      </c>
      <c r="J947">
        <v>9</v>
      </c>
      <c r="K947" s="2">
        <v>0.3</v>
      </c>
      <c r="L947" s="4">
        <v>-791.36</v>
      </c>
      <c r="M947" t="s">
        <v>44</v>
      </c>
      <c r="N947" t="s">
        <v>23</v>
      </c>
      <c r="O947">
        <f>YEAR(Table1[[#This Row],[Order Date]])</f>
        <v>2024</v>
      </c>
      <c r="P947" t="str">
        <f>TEXT(Table1[[#This Row],[Order Date]],"mmmm")</f>
        <v>April</v>
      </c>
      <c r="Q947" t="str">
        <f>TEXT(Table1[[#This Row],[Order Date]],"mm")</f>
        <v>04</v>
      </c>
      <c r="R947" s="2">
        <f>Table1[[#This Row],[Profit]]/Table1[[#This Row],[Sales]]</f>
        <v>-0.11915613796551013</v>
      </c>
      <c r="S947" t="str">
        <f t="shared" si="14"/>
        <v>High (21-30%)</v>
      </c>
    </row>
    <row r="948" spans="1:19" x14ac:dyDescent="0.2">
      <c r="A948" t="s">
        <v>1766</v>
      </c>
      <c r="B948" s="3" t="s">
        <v>1767</v>
      </c>
      <c r="C948" t="s">
        <v>1768</v>
      </c>
      <c r="D948" t="s">
        <v>17</v>
      </c>
      <c r="E948" t="s">
        <v>54</v>
      </c>
      <c r="F948" t="s">
        <v>67</v>
      </c>
      <c r="G948" t="s">
        <v>115</v>
      </c>
      <c r="H948" t="s">
        <v>212</v>
      </c>
      <c r="I948" s="4">
        <v>3878</v>
      </c>
      <c r="J948">
        <v>10</v>
      </c>
      <c r="K948" s="2">
        <v>0.05</v>
      </c>
      <c r="L948" s="4">
        <v>601.28</v>
      </c>
      <c r="M948" t="s">
        <v>63</v>
      </c>
      <c r="N948" t="s">
        <v>39</v>
      </c>
      <c r="O948">
        <f>YEAR(Table1[[#This Row],[Order Date]])</f>
        <v>2025</v>
      </c>
      <c r="P948" t="str">
        <f>TEXT(Table1[[#This Row],[Order Date]],"mmmm")</f>
        <v>April</v>
      </c>
      <c r="Q948" t="str">
        <f>TEXT(Table1[[#This Row],[Order Date]],"mm")</f>
        <v>04</v>
      </c>
      <c r="R948" s="2">
        <f>Table1[[#This Row],[Profit]]/Table1[[#This Row],[Sales]]</f>
        <v>0.15504899432697267</v>
      </c>
      <c r="S948" t="str">
        <f t="shared" si="14"/>
        <v>Low (1-10%)</v>
      </c>
    </row>
    <row r="949" spans="1:19" x14ac:dyDescent="0.2">
      <c r="A949" t="s">
        <v>1769</v>
      </c>
      <c r="B949" s="3" t="s">
        <v>441</v>
      </c>
      <c r="C949" t="s">
        <v>672</v>
      </c>
      <c r="D949" t="s">
        <v>17</v>
      </c>
      <c r="E949" t="s">
        <v>54</v>
      </c>
      <c r="F949" t="s">
        <v>19</v>
      </c>
      <c r="G949" t="s">
        <v>20</v>
      </c>
      <c r="H949" t="s">
        <v>347</v>
      </c>
      <c r="I949" s="4">
        <v>10009.9</v>
      </c>
      <c r="J949">
        <v>10</v>
      </c>
      <c r="K949" s="2">
        <v>0.05</v>
      </c>
      <c r="L949" s="4">
        <v>1722.02</v>
      </c>
      <c r="M949" t="s">
        <v>44</v>
      </c>
      <c r="N949" t="s">
        <v>39</v>
      </c>
      <c r="O949">
        <f>YEAR(Table1[[#This Row],[Order Date]])</f>
        <v>2025</v>
      </c>
      <c r="P949" t="str">
        <f>TEXT(Table1[[#This Row],[Order Date]],"mmmm")</f>
        <v>July</v>
      </c>
      <c r="Q949" t="str">
        <f>TEXT(Table1[[#This Row],[Order Date]],"mm")</f>
        <v>07</v>
      </c>
      <c r="R949" s="2">
        <f>Table1[[#This Row],[Profit]]/Table1[[#This Row],[Sales]]</f>
        <v>0.17203168862825802</v>
      </c>
      <c r="S949" t="str">
        <f t="shared" si="14"/>
        <v>Low (1-10%)</v>
      </c>
    </row>
    <row r="950" spans="1:19" x14ac:dyDescent="0.2">
      <c r="A950" t="s">
        <v>1770</v>
      </c>
      <c r="B950" s="3" t="s">
        <v>1004</v>
      </c>
      <c r="C950" t="s">
        <v>395</v>
      </c>
      <c r="D950" t="s">
        <v>27</v>
      </c>
      <c r="E950" t="s">
        <v>43</v>
      </c>
      <c r="F950" t="s">
        <v>19</v>
      </c>
      <c r="G950" t="s">
        <v>36</v>
      </c>
      <c r="H950" t="s">
        <v>111</v>
      </c>
      <c r="I950" s="4">
        <v>680.58</v>
      </c>
      <c r="J950">
        <v>6</v>
      </c>
      <c r="K950" s="2">
        <v>0</v>
      </c>
      <c r="L950" s="4">
        <v>170.33</v>
      </c>
      <c r="M950" t="s">
        <v>117</v>
      </c>
      <c r="N950" t="s">
        <v>32</v>
      </c>
      <c r="O950">
        <f>YEAR(Table1[[#This Row],[Order Date]])</f>
        <v>2025</v>
      </c>
      <c r="P950" t="str">
        <f>TEXT(Table1[[#This Row],[Order Date]],"mmmm")</f>
        <v>March</v>
      </c>
      <c r="Q950" t="str">
        <f>TEXT(Table1[[#This Row],[Order Date]],"mm")</f>
        <v>03</v>
      </c>
      <c r="R950" s="2">
        <f>Table1[[#This Row],[Profit]]/Table1[[#This Row],[Sales]]</f>
        <v>0.25027182697111289</v>
      </c>
      <c r="S950" t="str">
        <f t="shared" si="14"/>
        <v>No Discount</v>
      </c>
    </row>
    <row r="951" spans="1:19" x14ac:dyDescent="0.2">
      <c r="A951" t="s">
        <v>1771</v>
      </c>
      <c r="B951" s="3" t="s">
        <v>1446</v>
      </c>
      <c r="C951" t="s">
        <v>186</v>
      </c>
      <c r="D951" t="s">
        <v>17</v>
      </c>
      <c r="E951" t="s">
        <v>18</v>
      </c>
      <c r="F951" t="s">
        <v>67</v>
      </c>
      <c r="G951" t="s">
        <v>85</v>
      </c>
      <c r="H951" t="s">
        <v>125</v>
      </c>
      <c r="I951" s="4">
        <v>2151.58</v>
      </c>
      <c r="J951">
        <v>2</v>
      </c>
      <c r="K951" s="2">
        <v>0.1</v>
      </c>
      <c r="L951" s="4">
        <v>717.01</v>
      </c>
      <c r="M951" t="s">
        <v>31</v>
      </c>
      <c r="N951" t="s">
        <v>76</v>
      </c>
      <c r="O951">
        <f>YEAR(Table1[[#This Row],[Order Date]])</f>
        <v>2024</v>
      </c>
      <c r="P951" t="str">
        <f>TEXT(Table1[[#This Row],[Order Date]],"mmmm")</f>
        <v>October</v>
      </c>
      <c r="Q951" t="str">
        <f>TEXT(Table1[[#This Row],[Order Date]],"mm")</f>
        <v>10</v>
      </c>
      <c r="R951" s="2">
        <f>Table1[[#This Row],[Profit]]/Table1[[#This Row],[Sales]]</f>
        <v>0.3332481246339899</v>
      </c>
      <c r="S951" t="str">
        <f t="shared" si="14"/>
        <v>Low (1-10%)</v>
      </c>
    </row>
    <row r="952" spans="1:19" x14ac:dyDescent="0.2">
      <c r="A952" t="s">
        <v>1772</v>
      </c>
      <c r="B952" s="3" t="s">
        <v>191</v>
      </c>
      <c r="C952" t="s">
        <v>289</v>
      </c>
      <c r="D952" t="s">
        <v>17</v>
      </c>
      <c r="E952" t="s">
        <v>18</v>
      </c>
      <c r="F952" t="s">
        <v>19</v>
      </c>
      <c r="G952" t="s">
        <v>29</v>
      </c>
      <c r="H952" t="s">
        <v>50</v>
      </c>
      <c r="I952" s="4">
        <v>3975.75</v>
      </c>
      <c r="J952">
        <v>9</v>
      </c>
      <c r="K952" s="2">
        <v>0.2</v>
      </c>
      <c r="L952" s="4">
        <v>155.88999999999999</v>
      </c>
      <c r="M952" t="s">
        <v>143</v>
      </c>
      <c r="N952" t="s">
        <v>76</v>
      </c>
      <c r="O952">
        <f>YEAR(Table1[[#This Row],[Order Date]])</f>
        <v>2025</v>
      </c>
      <c r="P952" t="str">
        <f>TEXT(Table1[[#This Row],[Order Date]],"mmmm")</f>
        <v>September</v>
      </c>
      <c r="Q952" t="str">
        <f>TEXT(Table1[[#This Row],[Order Date]],"mm")</f>
        <v>09</v>
      </c>
      <c r="R952" s="2">
        <f>Table1[[#This Row],[Profit]]/Table1[[#This Row],[Sales]]</f>
        <v>3.9210211909702565E-2</v>
      </c>
      <c r="S952" t="str">
        <f t="shared" si="14"/>
        <v>Medium (11-20%)</v>
      </c>
    </row>
    <row r="953" spans="1:19" x14ac:dyDescent="0.2">
      <c r="A953" t="s">
        <v>1773</v>
      </c>
      <c r="B953" s="3" t="s">
        <v>1774</v>
      </c>
      <c r="C953" t="s">
        <v>771</v>
      </c>
      <c r="D953" t="s">
        <v>48</v>
      </c>
      <c r="E953" t="s">
        <v>73</v>
      </c>
      <c r="F953" t="s">
        <v>19</v>
      </c>
      <c r="G953" t="s">
        <v>29</v>
      </c>
      <c r="H953" t="s">
        <v>50</v>
      </c>
      <c r="I953" s="4">
        <v>892.93</v>
      </c>
      <c r="J953">
        <v>1</v>
      </c>
      <c r="K953" s="2">
        <v>0.2</v>
      </c>
      <c r="L953" s="4">
        <v>-127.16</v>
      </c>
      <c r="M953" t="s">
        <v>63</v>
      </c>
      <c r="N953" t="s">
        <v>76</v>
      </c>
      <c r="O953">
        <f>YEAR(Table1[[#This Row],[Order Date]])</f>
        <v>2025</v>
      </c>
      <c r="P953" t="str">
        <f>TEXT(Table1[[#This Row],[Order Date]],"mmmm")</f>
        <v>March</v>
      </c>
      <c r="Q953" t="str">
        <f>TEXT(Table1[[#This Row],[Order Date]],"mm")</f>
        <v>03</v>
      </c>
      <c r="R953" s="2">
        <f>Table1[[#This Row],[Profit]]/Table1[[#This Row],[Sales]]</f>
        <v>-0.14240757954150943</v>
      </c>
      <c r="S953" t="str">
        <f t="shared" si="14"/>
        <v>Medium (11-20%)</v>
      </c>
    </row>
    <row r="954" spans="1:19" x14ac:dyDescent="0.2">
      <c r="A954" t="s">
        <v>1775</v>
      </c>
      <c r="B954" s="3" t="s">
        <v>109</v>
      </c>
      <c r="C954" t="s">
        <v>455</v>
      </c>
      <c r="D954" t="s">
        <v>137</v>
      </c>
      <c r="E954" t="s">
        <v>242</v>
      </c>
      <c r="F954" t="s">
        <v>67</v>
      </c>
      <c r="G954" t="s">
        <v>85</v>
      </c>
      <c r="H954" t="s">
        <v>86</v>
      </c>
      <c r="I954" s="4">
        <v>8385.4</v>
      </c>
      <c r="J954">
        <v>10</v>
      </c>
      <c r="K954" s="2">
        <v>0</v>
      </c>
      <c r="L954" s="4">
        <v>729.15</v>
      </c>
      <c r="M954" t="s">
        <v>117</v>
      </c>
      <c r="N954" t="s">
        <v>39</v>
      </c>
      <c r="O954">
        <f>YEAR(Table1[[#This Row],[Order Date]])</f>
        <v>2025</v>
      </c>
      <c r="P954" t="str">
        <f>TEXT(Table1[[#This Row],[Order Date]],"mmmm")</f>
        <v>May</v>
      </c>
      <c r="Q954" t="str">
        <f>TEXT(Table1[[#This Row],[Order Date]],"mm")</f>
        <v>05</v>
      </c>
      <c r="R954" s="2">
        <f>Table1[[#This Row],[Profit]]/Table1[[#This Row],[Sales]]</f>
        <v>8.6954706990721969E-2</v>
      </c>
      <c r="S954" t="str">
        <f t="shared" si="14"/>
        <v>No Discount</v>
      </c>
    </row>
    <row r="955" spans="1:19" x14ac:dyDescent="0.2">
      <c r="A955" t="s">
        <v>1776</v>
      </c>
      <c r="B955" s="3" t="s">
        <v>1777</v>
      </c>
      <c r="C955" t="s">
        <v>132</v>
      </c>
      <c r="D955" t="s">
        <v>137</v>
      </c>
      <c r="E955" t="s">
        <v>160</v>
      </c>
      <c r="F955" t="s">
        <v>19</v>
      </c>
      <c r="G955" t="s">
        <v>29</v>
      </c>
      <c r="H955" t="s">
        <v>50</v>
      </c>
      <c r="I955" s="4">
        <v>38.56</v>
      </c>
      <c r="J955">
        <v>1</v>
      </c>
      <c r="K955" s="2">
        <v>0</v>
      </c>
      <c r="L955" s="4">
        <v>8.7799999999999994</v>
      </c>
      <c r="M955" t="s">
        <v>44</v>
      </c>
      <c r="N955" t="s">
        <v>39</v>
      </c>
      <c r="O955">
        <f>YEAR(Table1[[#This Row],[Order Date]])</f>
        <v>2024</v>
      </c>
      <c r="P955" t="str">
        <f>TEXT(Table1[[#This Row],[Order Date]],"mmmm")</f>
        <v>June</v>
      </c>
      <c r="Q955" t="str">
        <f>TEXT(Table1[[#This Row],[Order Date]],"mm")</f>
        <v>06</v>
      </c>
      <c r="R955" s="2">
        <f>Table1[[#This Row],[Profit]]/Table1[[#This Row],[Sales]]</f>
        <v>0.22769709543568462</v>
      </c>
      <c r="S955" t="str">
        <f t="shared" si="14"/>
        <v>No Discount</v>
      </c>
    </row>
    <row r="956" spans="1:19" x14ac:dyDescent="0.2">
      <c r="A956" t="s">
        <v>1778</v>
      </c>
      <c r="B956" s="3" t="s">
        <v>1429</v>
      </c>
      <c r="C956" t="s">
        <v>83</v>
      </c>
      <c r="D956" t="s">
        <v>48</v>
      </c>
      <c r="E956" t="s">
        <v>49</v>
      </c>
      <c r="F956" t="s">
        <v>67</v>
      </c>
      <c r="G956" t="s">
        <v>85</v>
      </c>
      <c r="H956" t="s">
        <v>253</v>
      </c>
      <c r="I956" s="4">
        <v>1980.54</v>
      </c>
      <c r="J956">
        <v>6</v>
      </c>
      <c r="K956" s="2">
        <v>0.05</v>
      </c>
      <c r="L956" s="4">
        <v>73.11</v>
      </c>
      <c r="M956" t="s">
        <v>117</v>
      </c>
      <c r="N956" t="s">
        <v>39</v>
      </c>
      <c r="O956">
        <f>YEAR(Table1[[#This Row],[Order Date]])</f>
        <v>2025</v>
      </c>
      <c r="P956" t="str">
        <f>TEXT(Table1[[#This Row],[Order Date]],"mmmm")</f>
        <v>August</v>
      </c>
      <c r="Q956" t="str">
        <f>TEXT(Table1[[#This Row],[Order Date]],"mm")</f>
        <v>08</v>
      </c>
      <c r="R956" s="2">
        <f>Table1[[#This Row],[Profit]]/Table1[[#This Row],[Sales]]</f>
        <v>3.6914174921990971E-2</v>
      </c>
      <c r="S956" t="str">
        <f t="shared" si="14"/>
        <v>Low (1-10%)</v>
      </c>
    </row>
    <row r="957" spans="1:19" x14ac:dyDescent="0.2">
      <c r="A957" t="s">
        <v>1779</v>
      </c>
      <c r="B957" s="3" t="s">
        <v>985</v>
      </c>
      <c r="C957" t="s">
        <v>608</v>
      </c>
      <c r="D957" t="s">
        <v>17</v>
      </c>
      <c r="E957" t="s">
        <v>97</v>
      </c>
      <c r="F957" t="s">
        <v>55</v>
      </c>
      <c r="G957" t="s">
        <v>98</v>
      </c>
      <c r="H957" t="s">
        <v>99</v>
      </c>
      <c r="I957" s="4">
        <v>7100.6</v>
      </c>
      <c r="J957">
        <v>10</v>
      </c>
      <c r="K957" s="2">
        <v>0.15</v>
      </c>
      <c r="L957" s="4">
        <v>43.14</v>
      </c>
      <c r="M957" t="s">
        <v>143</v>
      </c>
      <c r="N957" t="s">
        <v>39</v>
      </c>
      <c r="O957">
        <f>YEAR(Table1[[#This Row],[Order Date]])</f>
        <v>2025</v>
      </c>
      <c r="P957" t="str">
        <f>TEXT(Table1[[#This Row],[Order Date]],"mmmm")</f>
        <v>March</v>
      </c>
      <c r="Q957" t="str">
        <f>TEXT(Table1[[#This Row],[Order Date]],"mm")</f>
        <v>03</v>
      </c>
      <c r="R957" s="2">
        <f>Table1[[#This Row],[Profit]]/Table1[[#This Row],[Sales]]</f>
        <v>6.0755429118666028E-3</v>
      </c>
      <c r="S957" t="str">
        <f t="shared" si="14"/>
        <v>Medium (11-20%)</v>
      </c>
    </row>
    <row r="958" spans="1:19" x14ac:dyDescent="0.2">
      <c r="A958" t="s">
        <v>1780</v>
      </c>
      <c r="B958" s="3" t="s">
        <v>315</v>
      </c>
      <c r="C958" t="s">
        <v>289</v>
      </c>
      <c r="D958" t="s">
        <v>48</v>
      </c>
      <c r="E958" t="s">
        <v>110</v>
      </c>
      <c r="F958" t="s">
        <v>67</v>
      </c>
      <c r="G958" t="s">
        <v>68</v>
      </c>
      <c r="H958" t="s">
        <v>69</v>
      </c>
      <c r="I958" s="4">
        <v>2096.9499999999998</v>
      </c>
      <c r="J958">
        <v>5</v>
      </c>
      <c r="K958" s="2">
        <v>0.2</v>
      </c>
      <c r="L958" s="4">
        <v>342.93</v>
      </c>
      <c r="M958" t="s">
        <v>117</v>
      </c>
      <c r="N958" t="s">
        <v>23</v>
      </c>
      <c r="O958">
        <f>YEAR(Table1[[#This Row],[Order Date]])</f>
        <v>2024</v>
      </c>
      <c r="P958" t="str">
        <f>TEXT(Table1[[#This Row],[Order Date]],"mmmm")</f>
        <v>September</v>
      </c>
      <c r="Q958" t="str">
        <f>TEXT(Table1[[#This Row],[Order Date]],"mm")</f>
        <v>09</v>
      </c>
      <c r="R958" s="2">
        <f>Table1[[#This Row],[Profit]]/Table1[[#This Row],[Sales]]</f>
        <v>0.16353751877727177</v>
      </c>
      <c r="S958" t="str">
        <f t="shared" si="14"/>
        <v>Medium (11-20%)</v>
      </c>
    </row>
    <row r="959" spans="1:19" x14ac:dyDescent="0.2">
      <c r="A959" t="s">
        <v>1781</v>
      </c>
      <c r="B959" s="3" t="s">
        <v>1609</v>
      </c>
      <c r="C959" t="s">
        <v>324</v>
      </c>
      <c r="D959" t="s">
        <v>27</v>
      </c>
      <c r="E959" t="s">
        <v>28</v>
      </c>
      <c r="F959" t="s">
        <v>19</v>
      </c>
      <c r="G959" t="s">
        <v>29</v>
      </c>
      <c r="H959" t="s">
        <v>50</v>
      </c>
      <c r="I959" s="4">
        <v>4721.04</v>
      </c>
      <c r="J959">
        <v>8</v>
      </c>
      <c r="K959" s="2">
        <v>0.05</v>
      </c>
      <c r="L959" s="4">
        <v>1382.34</v>
      </c>
      <c r="M959" t="s">
        <v>31</v>
      </c>
      <c r="N959" t="s">
        <v>23</v>
      </c>
      <c r="O959">
        <f>YEAR(Table1[[#This Row],[Order Date]])</f>
        <v>2024</v>
      </c>
      <c r="P959" t="str">
        <f>TEXT(Table1[[#This Row],[Order Date]],"mmmm")</f>
        <v>May</v>
      </c>
      <c r="Q959" t="str">
        <f>TEXT(Table1[[#This Row],[Order Date]],"mm")</f>
        <v>05</v>
      </c>
      <c r="R959" s="2">
        <f>Table1[[#This Row],[Profit]]/Table1[[#This Row],[Sales]]</f>
        <v>0.29280412790402111</v>
      </c>
      <c r="S959" t="str">
        <f t="shared" si="14"/>
        <v>Low (1-10%)</v>
      </c>
    </row>
    <row r="960" spans="1:19" x14ac:dyDescent="0.2">
      <c r="A960" t="s">
        <v>1782</v>
      </c>
      <c r="B960" s="3" t="s">
        <v>89</v>
      </c>
      <c r="C960" t="s">
        <v>281</v>
      </c>
      <c r="D960" t="s">
        <v>27</v>
      </c>
      <c r="E960" t="s">
        <v>43</v>
      </c>
      <c r="F960" t="s">
        <v>67</v>
      </c>
      <c r="G960" t="s">
        <v>115</v>
      </c>
      <c r="H960" t="s">
        <v>116</v>
      </c>
      <c r="I960" s="4">
        <v>8636.94</v>
      </c>
      <c r="J960">
        <v>9</v>
      </c>
      <c r="K960" s="2">
        <v>0.2</v>
      </c>
      <c r="L960" s="4">
        <v>597.38</v>
      </c>
      <c r="M960" t="s">
        <v>31</v>
      </c>
      <c r="N960" t="s">
        <v>32</v>
      </c>
      <c r="O960">
        <f>YEAR(Table1[[#This Row],[Order Date]])</f>
        <v>2024</v>
      </c>
      <c r="P960" t="str">
        <f>TEXT(Table1[[#This Row],[Order Date]],"mmmm")</f>
        <v>May</v>
      </c>
      <c r="Q960" t="str">
        <f>TEXT(Table1[[#This Row],[Order Date]],"mm")</f>
        <v>05</v>
      </c>
      <c r="R960" s="2">
        <f>Table1[[#This Row],[Profit]]/Table1[[#This Row],[Sales]]</f>
        <v>6.9165699889081084E-2</v>
      </c>
      <c r="S960" t="str">
        <f t="shared" si="14"/>
        <v>Medium (11-20%)</v>
      </c>
    </row>
    <row r="961" spans="1:19" x14ac:dyDescent="0.2">
      <c r="A961" t="s">
        <v>1783</v>
      </c>
      <c r="B961" s="3" t="s">
        <v>15</v>
      </c>
      <c r="C961" t="s">
        <v>1006</v>
      </c>
      <c r="D961" t="s">
        <v>137</v>
      </c>
      <c r="E961" t="s">
        <v>160</v>
      </c>
      <c r="F961" t="s">
        <v>55</v>
      </c>
      <c r="G961" t="s">
        <v>56</v>
      </c>
      <c r="H961" t="s">
        <v>129</v>
      </c>
      <c r="I961" s="4">
        <v>2921.52</v>
      </c>
      <c r="J961">
        <v>4</v>
      </c>
      <c r="K961" s="2">
        <v>0.25</v>
      </c>
      <c r="L961" s="4">
        <v>209.28</v>
      </c>
      <c r="M961" t="s">
        <v>44</v>
      </c>
      <c r="N961" t="s">
        <v>76</v>
      </c>
      <c r="O961">
        <f>YEAR(Table1[[#This Row],[Order Date]])</f>
        <v>2025</v>
      </c>
      <c r="P961" t="str">
        <f>TEXT(Table1[[#This Row],[Order Date]],"mmmm")</f>
        <v>January</v>
      </c>
      <c r="Q961" t="str">
        <f>TEXT(Table1[[#This Row],[Order Date]],"mm")</f>
        <v>01</v>
      </c>
      <c r="R961" s="2">
        <f>Table1[[#This Row],[Profit]]/Table1[[#This Row],[Sales]]</f>
        <v>7.1633943974369507E-2</v>
      </c>
      <c r="S961" t="str">
        <f t="shared" si="14"/>
        <v>High (21-30%)</v>
      </c>
    </row>
    <row r="962" spans="1:19" x14ac:dyDescent="0.2">
      <c r="A962" t="s">
        <v>1784</v>
      </c>
      <c r="B962" s="3" t="s">
        <v>1785</v>
      </c>
      <c r="C962" t="s">
        <v>211</v>
      </c>
      <c r="D962" t="s">
        <v>137</v>
      </c>
      <c r="E962" t="s">
        <v>160</v>
      </c>
      <c r="F962" t="s">
        <v>19</v>
      </c>
      <c r="G962" t="s">
        <v>29</v>
      </c>
      <c r="H962" t="s">
        <v>199</v>
      </c>
      <c r="I962" s="4">
        <v>1065.1400000000001</v>
      </c>
      <c r="J962">
        <v>1</v>
      </c>
      <c r="K962" s="2">
        <v>0.15</v>
      </c>
      <c r="L962" s="4">
        <v>216.92</v>
      </c>
      <c r="M962" t="s">
        <v>117</v>
      </c>
      <c r="N962" t="s">
        <v>39</v>
      </c>
      <c r="O962">
        <f>YEAR(Table1[[#This Row],[Order Date]])</f>
        <v>2024</v>
      </c>
      <c r="P962" t="str">
        <f>TEXT(Table1[[#This Row],[Order Date]],"mmmm")</f>
        <v>July</v>
      </c>
      <c r="Q962" t="str">
        <f>TEXT(Table1[[#This Row],[Order Date]],"mm")</f>
        <v>07</v>
      </c>
      <c r="R962" s="2">
        <f>Table1[[#This Row],[Profit]]/Table1[[#This Row],[Sales]]</f>
        <v>0.20365397975852936</v>
      </c>
      <c r="S962" t="str">
        <f t="shared" ref="S962:S1001" si="15">IF(K962=0,"No Discount",
IF(K962&lt;=0.1,"Low (1-10%)",
IF(K962&lt;=0.2,"Medium (11-20%)",
IF(K962&lt;=0.3,"High (21-30%)","Very High (&gt;30%)"))))</f>
        <v>Medium (11-20%)</v>
      </c>
    </row>
    <row r="963" spans="1:19" x14ac:dyDescent="0.2">
      <c r="A963" t="s">
        <v>1786</v>
      </c>
      <c r="B963" s="3" t="s">
        <v>1787</v>
      </c>
      <c r="C963" t="s">
        <v>169</v>
      </c>
      <c r="D963" t="s">
        <v>27</v>
      </c>
      <c r="E963" t="s">
        <v>124</v>
      </c>
      <c r="F963" t="s">
        <v>55</v>
      </c>
      <c r="G963" t="s">
        <v>74</v>
      </c>
      <c r="H963" t="s">
        <v>133</v>
      </c>
      <c r="I963" s="4">
        <v>3447</v>
      </c>
      <c r="J963">
        <v>3</v>
      </c>
      <c r="K963" s="2">
        <v>0.2</v>
      </c>
      <c r="L963" s="4">
        <v>686.58</v>
      </c>
      <c r="M963" t="s">
        <v>87</v>
      </c>
      <c r="N963" t="s">
        <v>32</v>
      </c>
      <c r="O963">
        <f>YEAR(Table1[[#This Row],[Order Date]])</f>
        <v>2024</v>
      </c>
      <c r="P963" t="str">
        <f>TEXT(Table1[[#This Row],[Order Date]],"mmmm")</f>
        <v>May</v>
      </c>
      <c r="Q963" t="str">
        <f>TEXT(Table1[[#This Row],[Order Date]],"mm")</f>
        <v>05</v>
      </c>
      <c r="R963" s="2">
        <f>Table1[[#This Row],[Profit]]/Table1[[#This Row],[Sales]]</f>
        <v>0.19918189730200175</v>
      </c>
      <c r="S963" t="str">
        <f t="shared" si="15"/>
        <v>Medium (11-20%)</v>
      </c>
    </row>
    <row r="964" spans="1:19" x14ac:dyDescent="0.2">
      <c r="A964" t="s">
        <v>1788</v>
      </c>
      <c r="B964" s="3" t="s">
        <v>1272</v>
      </c>
      <c r="C964" t="s">
        <v>286</v>
      </c>
      <c r="D964" t="s">
        <v>27</v>
      </c>
      <c r="E964" t="s">
        <v>124</v>
      </c>
      <c r="F964" t="s">
        <v>67</v>
      </c>
      <c r="G964" t="s">
        <v>85</v>
      </c>
      <c r="H964" t="s">
        <v>125</v>
      </c>
      <c r="I964" s="4">
        <v>5534.05</v>
      </c>
      <c r="J964">
        <v>5</v>
      </c>
      <c r="K964" s="2">
        <v>0.15</v>
      </c>
      <c r="L964" s="4">
        <v>977.7</v>
      </c>
      <c r="M964" t="s">
        <v>87</v>
      </c>
      <c r="N964" t="s">
        <v>39</v>
      </c>
      <c r="O964">
        <f>YEAR(Table1[[#This Row],[Order Date]])</f>
        <v>2024</v>
      </c>
      <c r="P964" t="str">
        <f>TEXT(Table1[[#This Row],[Order Date]],"mmmm")</f>
        <v>July</v>
      </c>
      <c r="Q964" t="str">
        <f>TEXT(Table1[[#This Row],[Order Date]],"mm")</f>
        <v>07</v>
      </c>
      <c r="R964" s="2">
        <f>Table1[[#This Row],[Profit]]/Table1[[#This Row],[Sales]]</f>
        <v>0.17666988914086429</v>
      </c>
      <c r="S964" t="str">
        <f t="shared" si="15"/>
        <v>Medium (11-20%)</v>
      </c>
    </row>
    <row r="965" spans="1:19" x14ac:dyDescent="0.2">
      <c r="A965" t="s">
        <v>1789</v>
      </c>
      <c r="B965" s="3" t="s">
        <v>1389</v>
      </c>
      <c r="C965" t="s">
        <v>202</v>
      </c>
      <c r="D965" t="s">
        <v>137</v>
      </c>
      <c r="E965" t="s">
        <v>142</v>
      </c>
      <c r="F965" t="s">
        <v>55</v>
      </c>
      <c r="G965" t="s">
        <v>56</v>
      </c>
      <c r="H965" t="s">
        <v>129</v>
      </c>
      <c r="I965" s="4">
        <v>2598.7199999999998</v>
      </c>
      <c r="J965">
        <v>4</v>
      </c>
      <c r="K965" s="2">
        <v>0.1</v>
      </c>
      <c r="L965" s="4">
        <v>679.71</v>
      </c>
      <c r="M965" t="s">
        <v>117</v>
      </c>
      <c r="N965" t="s">
        <v>32</v>
      </c>
      <c r="O965">
        <f>YEAR(Table1[[#This Row],[Order Date]])</f>
        <v>2024</v>
      </c>
      <c r="P965" t="str">
        <f>TEXT(Table1[[#This Row],[Order Date]],"mmmm")</f>
        <v>April</v>
      </c>
      <c r="Q965" t="str">
        <f>TEXT(Table1[[#This Row],[Order Date]],"mm")</f>
        <v>04</v>
      </c>
      <c r="R965" s="2">
        <f>Table1[[#This Row],[Profit]]/Table1[[#This Row],[Sales]]</f>
        <v>0.26155568895456227</v>
      </c>
      <c r="S965" t="str">
        <f t="shared" si="15"/>
        <v>Low (1-10%)</v>
      </c>
    </row>
    <row r="966" spans="1:19" x14ac:dyDescent="0.2">
      <c r="A966" t="s">
        <v>1790</v>
      </c>
      <c r="B966" s="3" t="s">
        <v>1681</v>
      </c>
      <c r="C966" t="s">
        <v>519</v>
      </c>
      <c r="D966" t="s">
        <v>48</v>
      </c>
      <c r="E966" t="s">
        <v>84</v>
      </c>
      <c r="F966" t="s">
        <v>55</v>
      </c>
      <c r="G966" t="s">
        <v>74</v>
      </c>
      <c r="H966" t="s">
        <v>272</v>
      </c>
      <c r="I966" s="4">
        <v>1545.63</v>
      </c>
      <c r="J966">
        <v>3</v>
      </c>
      <c r="K966" s="2">
        <v>0.05</v>
      </c>
      <c r="L966" s="4">
        <v>274.3</v>
      </c>
      <c r="M966" t="s">
        <v>195</v>
      </c>
      <c r="N966" t="s">
        <v>76</v>
      </c>
      <c r="O966">
        <f>YEAR(Table1[[#This Row],[Order Date]])</f>
        <v>2024</v>
      </c>
      <c r="P966" t="str">
        <f>TEXT(Table1[[#This Row],[Order Date]],"mmmm")</f>
        <v>May</v>
      </c>
      <c r="Q966" t="str">
        <f>TEXT(Table1[[#This Row],[Order Date]],"mm")</f>
        <v>05</v>
      </c>
      <c r="R966" s="2">
        <f>Table1[[#This Row],[Profit]]/Table1[[#This Row],[Sales]]</f>
        <v>0.17746808744654283</v>
      </c>
      <c r="S966" t="str">
        <f t="shared" si="15"/>
        <v>Low (1-10%)</v>
      </c>
    </row>
    <row r="967" spans="1:19" x14ac:dyDescent="0.2">
      <c r="A967" t="s">
        <v>1791</v>
      </c>
      <c r="B967" s="3" t="s">
        <v>304</v>
      </c>
      <c r="C967" t="s">
        <v>205</v>
      </c>
      <c r="D967" t="s">
        <v>48</v>
      </c>
      <c r="E967" t="s">
        <v>84</v>
      </c>
      <c r="F967" t="s">
        <v>19</v>
      </c>
      <c r="G967" t="s">
        <v>20</v>
      </c>
      <c r="H967" t="s">
        <v>239</v>
      </c>
      <c r="I967" s="4">
        <v>569.14</v>
      </c>
      <c r="J967">
        <v>2</v>
      </c>
      <c r="K967" s="2">
        <v>0.15</v>
      </c>
      <c r="L967" s="4">
        <v>105.8</v>
      </c>
      <c r="M967" t="s">
        <v>31</v>
      </c>
      <c r="N967" t="s">
        <v>32</v>
      </c>
      <c r="O967">
        <f>YEAR(Table1[[#This Row],[Order Date]])</f>
        <v>2024</v>
      </c>
      <c r="P967" t="str">
        <f>TEXT(Table1[[#This Row],[Order Date]],"mmmm")</f>
        <v>January</v>
      </c>
      <c r="Q967" t="str">
        <f>TEXT(Table1[[#This Row],[Order Date]],"mm")</f>
        <v>01</v>
      </c>
      <c r="R967" s="2">
        <f>Table1[[#This Row],[Profit]]/Table1[[#This Row],[Sales]]</f>
        <v>0.18589450750254771</v>
      </c>
      <c r="S967" t="str">
        <f t="shared" si="15"/>
        <v>Medium (11-20%)</v>
      </c>
    </row>
    <row r="968" spans="1:19" x14ac:dyDescent="0.2">
      <c r="A968" t="s">
        <v>1792</v>
      </c>
      <c r="B968" s="3" t="s">
        <v>274</v>
      </c>
      <c r="C968" t="s">
        <v>571</v>
      </c>
      <c r="D968" t="s">
        <v>137</v>
      </c>
      <c r="E968" t="s">
        <v>138</v>
      </c>
      <c r="F968" t="s">
        <v>55</v>
      </c>
      <c r="G968" t="s">
        <v>98</v>
      </c>
      <c r="H968" t="s">
        <v>154</v>
      </c>
      <c r="I968" s="4">
        <v>5968.15</v>
      </c>
      <c r="J968">
        <v>5</v>
      </c>
      <c r="K968" s="2">
        <v>0.15</v>
      </c>
      <c r="L968" s="4">
        <v>-307.77</v>
      </c>
      <c r="M968" t="s">
        <v>107</v>
      </c>
      <c r="N968" t="s">
        <v>32</v>
      </c>
      <c r="O968">
        <f>YEAR(Table1[[#This Row],[Order Date]])</f>
        <v>2024</v>
      </c>
      <c r="P968" t="str">
        <f>TEXT(Table1[[#This Row],[Order Date]],"mmmm")</f>
        <v>November</v>
      </c>
      <c r="Q968" t="str">
        <f>TEXT(Table1[[#This Row],[Order Date]],"mm")</f>
        <v>11</v>
      </c>
      <c r="R968" s="2">
        <f>Table1[[#This Row],[Profit]]/Table1[[#This Row],[Sales]]</f>
        <v>-5.1568744083174856E-2</v>
      </c>
      <c r="S968" t="str">
        <f t="shared" si="15"/>
        <v>Medium (11-20%)</v>
      </c>
    </row>
    <row r="969" spans="1:19" x14ac:dyDescent="0.2">
      <c r="A969" t="s">
        <v>1793</v>
      </c>
      <c r="B969" s="3" t="s">
        <v>1794</v>
      </c>
      <c r="C969" t="s">
        <v>355</v>
      </c>
      <c r="D969" t="s">
        <v>137</v>
      </c>
      <c r="E969" t="s">
        <v>242</v>
      </c>
      <c r="F969" t="s">
        <v>55</v>
      </c>
      <c r="G969" t="s">
        <v>98</v>
      </c>
      <c r="H969" t="s">
        <v>154</v>
      </c>
      <c r="I969" s="4">
        <v>7458.1</v>
      </c>
      <c r="J969">
        <v>10</v>
      </c>
      <c r="K969" s="2">
        <v>0.15</v>
      </c>
      <c r="L969" s="4">
        <v>1437.34</v>
      </c>
      <c r="M969" t="s">
        <v>117</v>
      </c>
      <c r="N969" t="s">
        <v>76</v>
      </c>
      <c r="O969">
        <f>YEAR(Table1[[#This Row],[Order Date]])</f>
        <v>2025</v>
      </c>
      <c r="P969" t="str">
        <f>TEXT(Table1[[#This Row],[Order Date]],"mmmm")</f>
        <v>January</v>
      </c>
      <c r="Q969" t="str">
        <f>TEXT(Table1[[#This Row],[Order Date]],"mm")</f>
        <v>01</v>
      </c>
      <c r="R969" s="2">
        <f>Table1[[#This Row],[Profit]]/Table1[[#This Row],[Sales]]</f>
        <v>0.19272200694546868</v>
      </c>
      <c r="S969" t="str">
        <f t="shared" si="15"/>
        <v>Medium (11-20%)</v>
      </c>
    </row>
    <row r="970" spans="1:19" x14ac:dyDescent="0.2">
      <c r="A970" t="s">
        <v>1795</v>
      </c>
      <c r="B970" s="3" t="s">
        <v>1796</v>
      </c>
      <c r="C970" t="s">
        <v>395</v>
      </c>
      <c r="D970" t="s">
        <v>27</v>
      </c>
      <c r="E970" t="s">
        <v>28</v>
      </c>
      <c r="F970" t="s">
        <v>55</v>
      </c>
      <c r="G970" t="s">
        <v>74</v>
      </c>
      <c r="H970" t="s">
        <v>133</v>
      </c>
      <c r="I970" s="4">
        <v>617.82000000000005</v>
      </c>
      <c r="J970">
        <v>3</v>
      </c>
      <c r="K970" s="2">
        <v>0.05</v>
      </c>
      <c r="L970" s="4">
        <v>128.08000000000001</v>
      </c>
      <c r="M970" t="s">
        <v>63</v>
      </c>
      <c r="N970" t="s">
        <v>32</v>
      </c>
      <c r="O970">
        <f>YEAR(Table1[[#This Row],[Order Date]])</f>
        <v>2024</v>
      </c>
      <c r="P970" t="str">
        <f>TEXT(Table1[[#This Row],[Order Date]],"mmmm")</f>
        <v>October</v>
      </c>
      <c r="Q970" t="str">
        <f>TEXT(Table1[[#This Row],[Order Date]],"mm")</f>
        <v>10</v>
      </c>
      <c r="R970" s="2">
        <f>Table1[[#This Row],[Profit]]/Table1[[#This Row],[Sales]]</f>
        <v>0.2073095723673562</v>
      </c>
      <c r="S970" t="str">
        <f t="shared" si="15"/>
        <v>Low (1-10%)</v>
      </c>
    </row>
    <row r="971" spans="1:19" x14ac:dyDescent="0.2">
      <c r="A971" t="s">
        <v>1797</v>
      </c>
      <c r="B971" s="3" t="s">
        <v>331</v>
      </c>
      <c r="C971" t="s">
        <v>824</v>
      </c>
      <c r="D971" t="s">
        <v>17</v>
      </c>
      <c r="E971" t="s">
        <v>97</v>
      </c>
      <c r="F971" t="s">
        <v>19</v>
      </c>
      <c r="G971" t="s">
        <v>36</v>
      </c>
      <c r="H971" t="s">
        <v>222</v>
      </c>
      <c r="I971" s="4">
        <v>942.36</v>
      </c>
      <c r="J971">
        <v>4</v>
      </c>
      <c r="K971" s="2">
        <v>0.3</v>
      </c>
      <c r="L971" s="4">
        <v>-23.18</v>
      </c>
      <c r="M971" t="s">
        <v>22</v>
      </c>
      <c r="N971" t="s">
        <v>39</v>
      </c>
      <c r="O971">
        <f>YEAR(Table1[[#This Row],[Order Date]])</f>
        <v>2025</v>
      </c>
      <c r="P971" t="str">
        <f>TEXT(Table1[[#This Row],[Order Date]],"mmmm")</f>
        <v>June</v>
      </c>
      <c r="Q971" t="str">
        <f>TEXT(Table1[[#This Row],[Order Date]],"mm")</f>
        <v>06</v>
      </c>
      <c r="R971" s="2">
        <f>Table1[[#This Row],[Profit]]/Table1[[#This Row],[Sales]]</f>
        <v>-2.4597818243558726E-2</v>
      </c>
      <c r="S971" t="str">
        <f t="shared" si="15"/>
        <v>High (21-30%)</v>
      </c>
    </row>
    <row r="972" spans="1:19" x14ac:dyDescent="0.2">
      <c r="A972" t="s">
        <v>1798</v>
      </c>
      <c r="B972" s="3" t="s">
        <v>1171</v>
      </c>
      <c r="C972" t="s">
        <v>551</v>
      </c>
      <c r="D972" t="s">
        <v>137</v>
      </c>
      <c r="E972" t="s">
        <v>242</v>
      </c>
      <c r="F972" t="s">
        <v>67</v>
      </c>
      <c r="G972" t="s">
        <v>85</v>
      </c>
      <c r="H972" t="s">
        <v>125</v>
      </c>
      <c r="I972" s="4">
        <v>2154.36</v>
      </c>
      <c r="J972">
        <v>3</v>
      </c>
      <c r="K972" s="2">
        <v>0.25</v>
      </c>
      <c r="L972" s="4">
        <v>-332.03</v>
      </c>
      <c r="M972" t="s">
        <v>44</v>
      </c>
      <c r="N972" t="s">
        <v>76</v>
      </c>
      <c r="O972">
        <f>YEAR(Table1[[#This Row],[Order Date]])</f>
        <v>2024</v>
      </c>
      <c r="P972" t="str">
        <f>TEXT(Table1[[#This Row],[Order Date]],"mmmm")</f>
        <v>September</v>
      </c>
      <c r="Q972" t="str">
        <f>TEXT(Table1[[#This Row],[Order Date]],"mm")</f>
        <v>09</v>
      </c>
      <c r="R972" s="2">
        <f>Table1[[#This Row],[Profit]]/Table1[[#This Row],[Sales]]</f>
        <v>-0.15412001708163908</v>
      </c>
      <c r="S972" t="str">
        <f t="shared" si="15"/>
        <v>High (21-30%)</v>
      </c>
    </row>
    <row r="973" spans="1:19" x14ac:dyDescent="0.2">
      <c r="A973" t="s">
        <v>1799</v>
      </c>
      <c r="B973" s="3" t="s">
        <v>839</v>
      </c>
      <c r="C973" t="s">
        <v>859</v>
      </c>
      <c r="D973" t="s">
        <v>137</v>
      </c>
      <c r="E973" t="s">
        <v>160</v>
      </c>
      <c r="F973" t="s">
        <v>55</v>
      </c>
      <c r="G973" t="s">
        <v>56</v>
      </c>
      <c r="H973" t="s">
        <v>62</v>
      </c>
      <c r="I973" s="4">
        <v>3565.6</v>
      </c>
      <c r="J973">
        <v>5</v>
      </c>
      <c r="K973" s="2">
        <v>0.3</v>
      </c>
      <c r="L973" s="4">
        <v>224.18</v>
      </c>
      <c r="M973" t="s">
        <v>117</v>
      </c>
      <c r="N973" t="s">
        <v>39</v>
      </c>
      <c r="O973">
        <f>YEAR(Table1[[#This Row],[Order Date]])</f>
        <v>2025</v>
      </c>
      <c r="P973" t="str">
        <f>TEXT(Table1[[#This Row],[Order Date]],"mmmm")</f>
        <v>June</v>
      </c>
      <c r="Q973" t="str">
        <f>TEXT(Table1[[#This Row],[Order Date]],"mm")</f>
        <v>06</v>
      </c>
      <c r="R973" s="2">
        <f>Table1[[#This Row],[Profit]]/Table1[[#This Row],[Sales]]</f>
        <v>6.2873008750280457E-2</v>
      </c>
      <c r="S973" t="str">
        <f t="shared" si="15"/>
        <v>High (21-30%)</v>
      </c>
    </row>
    <row r="974" spans="1:19" x14ac:dyDescent="0.2">
      <c r="A974" t="s">
        <v>1800</v>
      </c>
      <c r="B974" s="3" t="s">
        <v>529</v>
      </c>
      <c r="C974" t="s">
        <v>358</v>
      </c>
      <c r="D974" t="s">
        <v>48</v>
      </c>
      <c r="E974" t="s">
        <v>84</v>
      </c>
      <c r="F974" t="s">
        <v>67</v>
      </c>
      <c r="G974" t="s">
        <v>115</v>
      </c>
      <c r="H974" t="s">
        <v>178</v>
      </c>
      <c r="I974" s="4">
        <v>2005.83</v>
      </c>
      <c r="J974">
        <v>3</v>
      </c>
      <c r="K974" s="2">
        <v>0.1</v>
      </c>
      <c r="L974" s="4">
        <v>88.28</v>
      </c>
      <c r="M974" t="s">
        <v>38</v>
      </c>
      <c r="N974" t="s">
        <v>76</v>
      </c>
      <c r="O974">
        <f>YEAR(Table1[[#This Row],[Order Date]])</f>
        <v>2024</v>
      </c>
      <c r="P974" t="str">
        <f>TEXT(Table1[[#This Row],[Order Date]],"mmmm")</f>
        <v>June</v>
      </c>
      <c r="Q974" t="str">
        <f>TEXT(Table1[[#This Row],[Order Date]],"mm")</f>
        <v>06</v>
      </c>
      <c r="R974" s="2">
        <f>Table1[[#This Row],[Profit]]/Table1[[#This Row],[Sales]]</f>
        <v>4.4011705877367475E-2</v>
      </c>
      <c r="S974" t="str">
        <f t="shared" si="15"/>
        <v>Low (1-10%)</v>
      </c>
    </row>
    <row r="975" spans="1:19" x14ac:dyDescent="0.2">
      <c r="A975" t="s">
        <v>1801</v>
      </c>
      <c r="B975" s="3" t="s">
        <v>1392</v>
      </c>
      <c r="C975" t="s">
        <v>275</v>
      </c>
      <c r="D975" t="s">
        <v>27</v>
      </c>
      <c r="E975" t="s">
        <v>61</v>
      </c>
      <c r="F975" t="s">
        <v>19</v>
      </c>
      <c r="G975" t="s">
        <v>20</v>
      </c>
      <c r="H975" t="s">
        <v>347</v>
      </c>
      <c r="I975" s="4">
        <v>873.64</v>
      </c>
      <c r="J975">
        <v>1</v>
      </c>
      <c r="K975" s="2">
        <v>0.3</v>
      </c>
      <c r="L975" s="4">
        <v>-37.43</v>
      </c>
      <c r="M975" t="s">
        <v>31</v>
      </c>
      <c r="N975" t="s">
        <v>32</v>
      </c>
      <c r="O975">
        <f>YEAR(Table1[[#This Row],[Order Date]])</f>
        <v>2024</v>
      </c>
      <c r="P975" t="str">
        <f>TEXT(Table1[[#This Row],[Order Date]],"mmmm")</f>
        <v>February</v>
      </c>
      <c r="Q975" t="str">
        <f>TEXT(Table1[[#This Row],[Order Date]],"mm")</f>
        <v>02</v>
      </c>
      <c r="R975" s="2">
        <f>Table1[[#This Row],[Profit]]/Table1[[#This Row],[Sales]]</f>
        <v>-4.2843734261251772E-2</v>
      </c>
      <c r="S975" t="str">
        <f t="shared" si="15"/>
        <v>High (21-30%)</v>
      </c>
    </row>
    <row r="976" spans="1:19" x14ac:dyDescent="0.2">
      <c r="A976" t="s">
        <v>1802</v>
      </c>
      <c r="B976" s="3" t="s">
        <v>1803</v>
      </c>
      <c r="C976" t="s">
        <v>93</v>
      </c>
      <c r="D976" t="s">
        <v>48</v>
      </c>
      <c r="E976" t="s">
        <v>110</v>
      </c>
      <c r="F976" t="s">
        <v>19</v>
      </c>
      <c r="G976" t="s">
        <v>20</v>
      </c>
      <c r="H976" t="s">
        <v>21</v>
      </c>
      <c r="I976" s="4">
        <v>876.9</v>
      </c>
      <c r="J976">
        <v>5</v>
      </c>
      <c r="K976" s="2">
        <v>0.2</v>
      </c>
      <c r="L976" s="4">
        <v>-63.97</v>
      </c>
      <c r="M976" t="s">
        <v>117</v>
      </c>
      <c r="N976" t="s">
        <v>32</v>
      </c>
      <c r="O976">
        <f>YEAR(Table1[[#This Row],[Order Date]])</f>
        <v>2024</v>
      </c>
      <c r="P976" t="str">
        <f>TEXT(Table1[[#This Row],[Order Date]],"mmmm")</f>
        <v>September</v>
      </c>
      <c r="Q976" t="str">
        <f>TEXT(Table1[[#This Row],[Order Date]],"mm")</f>
        <v>09</v>
      </c>
      <c r="R976" s="2">
        <f>Table1[[#This Row],[Profit]]/Table1[[#This Row],[Sales]]</f>
        <v>-7.2950165355228649E-2</v>
      </c>
      <c r="S976" t="str">
        <f t="shared" si="15"/>
        <v>Medium (11-20%)</v>
      </c>
    </row>
    <row r="977" spans="1:19" x14ac:dyDescent="0.2">
      <c r="A977" t="s">
        <v>1804</v>
      </c>
      <c r="B977" s="3" t="s">
        <v>1605</v>
      </c>
      <c r="C977" t="s">
        <v>418</v>
      </c>
      <c r="D977" t="s">
        <v>27</v>
      </c>
      <c r="E977" t="s">
        <v>124</v>
      </c>
      <c r="F977" t="s">
        <v>55</v>
      </c>
      <c r="G977" t="s">
        <v>98</v>
      </c>
      <c r="H977" t="s">
        <v>150</v>
      </c>
      <c r="I977" s="4">
        <v>2997.96</v>
      </c>
      <c r="J977">
        <v>4</v>
      </c>
      <c r="K977" s="2">
        <v>0.15</v>
      </c>
      <c r="L977" s="4">
        <v>-230.14</v>
      </c>
      <c r="M977" t="s">
        <v>107</v>
      </c>
      <c r="N977" t="s">
        <v>39</v>
      </c>
      <c r="O977">
        <f>YEAR(Table1[[#This Row],[Order Date]])</f>
        <v>2024</v>
      </c>
      <c r="P977" t="str">
        <f>TEXT(Table1[[#This Row],[Order Date]],"mmmm")</f>
        <v>January</v>
      </c>
      <c r="Q977" t="str">
        <f>TEXT(Table1[[#This Row],[Order Date]],"mm")</f>
        <v>01</v>
      </c>
      <c r="R977" s="2">
        <f>Table1[[#This Row],[Profit]]/Table1[[#This Row],[Sales]]</f>
        <v>-7.6765533896382868E-2</v>
      </c>
      <c r="S977" t="str">
        <f t="shared" si="15"/>
        <v>Medium (11-20%)</v>
      </c>
    </row>
    <row r="978" spans="1:19" x14ac:dyDescent="0.2">
      <c r="A978" t="s">
        <v>1805</v>
      </c>
      <c r="B978" s="3" t="s">
        <v>1639</v>
      </c>
      <c r="C978" t="s">
        <v>26</v>
      </c>
      <c r="D978" t="s">
        <v>48</v>
      </c>
      <c r="E978" t="s">
        <v>84</v>
      </c>
      <c r="F978" t="s">
        <v>67</v>
      </c>
      <c r="G978" t="s">
        <v>85</v>
      </c>
      <c r="H978" t="s">
        <v>125</v>
      </c>
      <c r="I978" s="4">
        <v>278.8</v>
      </c>
      <c r="J978">
        <v>2</v>
      </c>
      <c r="K978" s="2">
        <v>0.15</v>
      </c>
      <c r="L978" s="4">
        <v>65.040000000000006</v>
      </c>
      <c r="M978" t="s">
        <v>87</v>
      </c>
      <c r="N978" t="s">
        <v>76</v>
      </c>
      <c r="O978">
        <f>YEAR(Table1[[#This Row],[Order Date]])</f>
        <v>2024</v>
      </c>
      <c r="P978" t="str">
        <f>TEXT(Table1[[#This Row],[Order Date]],"mmmm")</f>
        <v>January</v>
      </c>
      <c r="Q978" t="str">
        <f>TEXT(Table1[[#This Row],[Order Date]],"mm")</f>
        <v>01</v>
      </c>
      <c r="R978" s="2">
        <f>Table1[[#This Row],[Profit]]/Table1[[#This Row],[Sales]]</f>
        <v>0.23328550932568151</v>
      </c>
      <c r="S978" t="str">
        <f t="shared" si="15"/>
        <v>Medium (11-20%)</v>
      </c>
    </row>
    <row r="979" spans="1:19" x14ac:dyDescent="0.2">
      <c r="A979" t="s">
        <v>1806</v>
      </c>
      <c r="B979" s="3" t="s">
        <v>1389</v>
      </c>
      <c r="C979" t="s">
        <v>841</v>
      </c>
      <c r="D979" t="s">
        <v>27</v>
      </c>
      <c r="E979" t="s">
        <v>61</v>
      </c>
      <c r="F979" t="s">
        <v>19</v>
      </c>
      <c r="G979" t="s">
        <v>36</v>
      </c>
      <c r="H979" t="s">
        <v>111</v>
      </c>
      <c r="I979" s="4">
        <v>4141.5600000000004</v>
      </c>
      <c r="J979">
        <v>4</v>
      </c>
      <c r="K979" s="2">
        <v>0.2</v>
      </c>
      <c r="L979" s="4">
        <v>45.75</v>
      </c>
      <c r="M979" t="s">
        <v>143</v>
      </c>
      <c r="N979" t="s">
        <v>32</v>
      </c>
      <c r="O979">
        <f>YEAR(Table1[[#This Row],[Order Date]])</f>
        <v>2024</v>
      </c>
      <c r="P979" t="str">
        <f>TEXT(Table1[[#This Row],[Order Date]],"mmmm")</f>
        <v>April</v>
      </c>
      <c r="Q979" t="str">
        <f>TEXT(Table1[[#This Row],[Order Date]],"mm")</f>
        <v>04</v>
      </c>
      <c r="R979" s="2">
        <f>Table1[[#This Row],[Profit]]/Table1[[#This Row],[Sales]]</f>
        <v>1.1046562164981311E-2</v>
      </c>
      <c r="S979" t="str">
        <f t="shared" si="15"/>
        <v>Medium (11-20%)</v>
      </c>
    </row>
    <row r="980" spans="1:19" x14ac:dyDescent="0.2">
      <c r="A980" t="s">
        <v>1807</v>
      </c>
      <c r="B980" s="3" t="s">
        <v>1808</v>
      </c>
      <c r="C980" t="s">
        <v>172</v>
      </c>
      <c r="D980" t="s">
        <v>27</v>
      </c>
      <c r="E980" t="s">
        <v>61</v>
      </c>
      <c r="F980" t="s">
        <v>19</v>
      </c>
      <c r="G980" t="s">
        <v>36</v>
      </c>
      <c r="H980" t="s">
        <v>222</v>
      </c>
      <c r="I980" s="4">
        <v>371.82</v>
      </c>
      <c r="J980">
        <v>1</v>
      </c>
      <c r="K980" s="2">
        <v>0</v>
      </c>
      <c r="L980" s="4">
        <v>114.27</v>
      </c>
      <c r="M980" t="s">
        <v>107</v>
      </c>
      <c r="N980" t="s">
        <v>32</v>
      </c>
      <c r="O980">
        <f>YEAR(Table1[[#This Row],[Order Date]])</f>
        <v>2024</v>
      </c>
      <c r="P980" t="str">
        <f>TEXT(Table1[[#This Row],[Order Date]],"mmmm")</f>
        <v>October</v>
      </c>
      <c r="Q980" t="str">
        <f>TEXT(Table1[[#This Row],[Order Date]],"mm")</f>
        <v>10</v>
      </c>
      <c r="R980" s="2">
        <f>Table1[[#This Row],[Profit]]/Table1[[#This Row],[Sales]]</f>
        <v>0.30732612554461836</v>
      </c>
      <c r="S980" t="str">
        <f t="shared" si="15"/>
        <v>No Discount</v>
      </c>
    </row>
    <row r="981" spans="1:19" x14ac:dyDescent="0.2">
      <c r="A981" t="s">
        <v>1809</v>
      </c>
      <c r="B981" s="3" t="s">
        <v>1810</v>
      </c>
      <c r="C981" t="s">
        <v>745</v>
      </c>
      <c r="D981" t="s">
        <v>48</v>
      </c>
      <c r="E981" t="s">
        <v>49</v>
      </c>
      <c r="F981" t="s">
        <v>19</v>
      </c>
      <c r="G981" t="s">
        <v>20</v>
      </c>
      <c r="H981" t="s">
        <v>21</v>
      </c>
      <c r="I981" s="4">
        <v>1609.85</v>
      </c>
      <c r="J981">
        <v>5</v>
      </c>
      <c r="K981" s="2">
        <v>0.3</v>
      </c>
      <c r="L981" s="4">
        <v>91.25</v>
      </c>
      <c r="M981" t="s">
        <v>195</v>
      </c>
      <c r="N981" t="s">
        <v>23</v>
      </c>
      <c r="O981">
        <f>YEAR(Table1[[#This Row],[Order Date]])</f>
        <v>2025</v>
      </c>
      <c r="P981" t="str">
        <f>TEXT(Table1[[#This Row],[Order Date]],"mmmm")</f>
        <v>July</v>
      </c>
      <c r="Q981" t="str">
        <f>TEXT(Table1[[#This Row],[Order Date]],"mm")</f>
        <v>07</v>
      </c>
      <c r="R981" s="2">
        <f>Table1[[#This Row],[Profit]]/Table1[[#This Row],[Sales]]</f>
        <v>5.6682299593129801E-2</v>
      </c>
      <c r="S981" t="str">
        <f t="shared" si="15"/>
        <v>High (21-30%)</v>
      </c>
    </row>
    <row r="982" spans="1:19" x14ac:dyDescent="0.2">
      <c r="A982" t="s">
        <v>1811</v>
      </c>
      <c r="B982" s="3" t="s">
        <v>965</v>
      </c>
      <c r="C982" t="s">
        <v>800</v>
      </c>
      <c r="D982" t="s">
        <v>17</v>
      </c>
      <c r="E982" t="s">
        <v>54</v>
      </c>
      <c r="F982" t="s">
        <v>19</v>
      </c>
      <c r="G982" t="s">
        <v>36</v>
      </c>
      <c r="H982" t="s">
        <v>37</v>
      </c>
      <c r="I982" s="4">
        <v>2520.1999999999998</v>
      </c>
      <c r="J982">
        <v>4</v>
      </c>
      <c r="K982" s="2">
        <v>0.1</v>
      </c>
      <c r="L982" s="4">
        <v>3.39</v>
      </c>
      <c r="M982" t="s">
        <v>107</v>
      </c>
      <c r="N982" t="s">
        <v>39</v>
      </c>
      <c r="O982">
        <f>YEAR(Table1[[#This Row],[Order Date]])</f>
        <v>2025</v>
      </c>
      <c r="P982" t="str">
        <f>TEXT(Table1[[#This Row],[Order Date]],"mmmm")</f>
        <v>November</v>
      </c>
      <c r="Q982" t="str">
        <f>TEXT(Table1[[#This Row],[Order Date]],"mm")</f>
        <v>11</v>
      </c>
      <c r="R982" s="2">
        <f>Table1[[#This Row],[Profit]]/Table1[[#This Row],[Sales]]</f>
        <v>1.3451313387826363E-3</v>
      </c>
      <c r="S982" t="str">
        <f t="shared" si="15"/>
        <v>Low (1-10%)</v>
      </c>
    </row>
    <row r="983" spans="1:19" x14ac:dyDescent="0.2">
      <c r="A983" t="s">
        <v>1812</v>
      </c>
      <c r="B983" s="3" t="s">
        <v>415</v>
      </c>
      <c r="C983" t="s">
        <v>146</v>
      </c>
      <c r="D983" t="s">
        <v>137</v>
      </c>
      <c r="E983" t="s">
        <v>160</v>
      </c>
      <c r="F983" t="s">
        <v>67</v>
      </c>
      <c r="G983" t="s">
        <v>115</v>
      </c>
      <c r="H983" t="s">
        <v>116</v>
      </c>
      <c r="I983" s="4">
        <v>2402.4699999999998</v>
      </c>
      <c r="J983">
        <v>7</v>
      </c>
      <c r="K983" s="2">
        <v>0.1</v>
      </c>
      <c r="L983" s="4">
        <v>300.33999999999997</v>
      </c>
      <c r="M983" t="s">
        <v>117</v>
      </c>
      <c r="N983" t="s">
        <v>39</v>
      </c>
      <c r="O983">
        <f>YEAR(Table1[[#This Row],[Order Date]])</f>
        <v>2024</v>
      </c>
      <c r="P983" t="str">
        <f>TEXT(Table1[[#This Row],[Order Date]],"mmmm")</f>
        <v>December</v>
      </c>
      <c r="Q983" t="str">
        <f>TEXT(Table1[[#This Row],[Order Date]],"mm")</f>
        <v>12</v>
      </c>
      <c r="R983" s="2">
        <f>Table1[[#This Row],[Profit]]/Table1[[#This Row],[Sales]]</f>
        <v>0.12501300744650298</v>
      </c>
      <c r="S983" t="str">
        <f t="shared" si="15"/>
        <v>Low (1-10%)</v>
      </c>
    </row>
    <row r="984" spans="1:19" x14ac:dyDescent="0.2">
      <c r="A984" t="s">
        <v>1813</v>
      </c>
      <c r="B984" s="3" t="s">
        <v>1272</v>
      </c>
      <c r="C984" t="s">
        <v>275</v>
      </c>
      <c r="D984" t="s">
        <v>27</v>
      </c>
      <c r="E984" t="s">
        <v>28</v>
      </c>
      <c r="F984" t="s">
        <v>55</v>
      </c>
      <c r="G984" t="s">
        <v>56</v>
      </c>
      <c r="H984" t="s">
        <v>57</v>
      </c>
      <c r="I984" s="4">
        <v>4246.7</v>
      </c>
      <c r="J984">
        <v>10</v>
      </c>
      <c r="K984" s="2">
        <v>0.1</v>
      </c>
      <c r="L984" s="4">
        <v>1344.22</v>
      </c>
      <c r="M984" t="s">
        <v>44</v>
      </c>
      <c r="N984" t="s">
        <v>39</v>
      </c>
      <c r="O984">
        <f>YEAR(Table1[[#This Row],[Order Date]])</f>
        <v>2024</v>
      </c>
      <c r="P984" t="str">
        <f>TEXT(Table1[[#This Row],[Order Date]],"mmmm")</f>
        <v>July</v>
      </c>
      <c r="Q984" t="str">
        <f>TEXT(Table1[[#This Row],[Order Date]],"mm")</f>
        <v>07</v>
      </c>
      <c r="R984" s="2">
        <f>Table1[[#This Row],[Profit]]/Table1[[#This Row],[Sales]]</f>
        <v>0.31653283726187392</v>
      </c>
      <c r="S984" t="str">
        <f t="shared" si="15"/>
        <v>Low (1-10%)</v>
      </c>
    </row>
    <row r="985" spans="1:19" x14ac:dyDescent="0.2">
      <c r="A985" t="s">
        <v>1814</v>
      </c>
      <c r="B985" s="3" t="s">
        <v>861</v>
      </c>
      <c r="C985" t="s">
        <v>316</v>
      </c>
      <c r="D985" t="s">
        <v>137</v>
      </c>
      <c r="E985" t="s">
        <v>160</v>
      </c>
      <c r="F985" t="s">
        <v>19</v>
      </c>
      <c r="G985" t="s">
        <v>20</v>
      </c>
      <c r="H985" t="s">
        <v>239</v>
      </c>
      <c r="I985" s="4">
        <v>2540.31</v>
      </c>
      <c r="J985">
        <v>3</v>
      </c>
      <c r="K985" s="2">
        <v>0.15</v>
      </c>
      <c r="L985" s="4">
        <v>526.41999999999996</v>
      </c>
      <c r="M985" t="s">
        <v>107</v>
      </c>
      <c r="N985" t="s">
        <v>23</v>
      </c>
      <c r="O985">
        <f>YEAR(Table1[[#This Row],[Order Date]])</f>
        <v>2024</v>
      </c>
      <c r="P985" t="str">
        <f>TEXT(Table1[[#This Row],[Order Date]],"mmmm")</f>
        <v>October</v>
      </c>
      <c r="Q985" t="str">
        <f>TEXT(Table1[[#This Row],[Order Date]],"mm")</f>
        <v>10</v>
      </c>
      <c r="R985" s="2">
        <f>Table1[[#This Row],[Profit]]/Table1[[#This Row],[Sales]]</f>
        <v>0.20722667705909908</v>
      </c>
      <c r="S985" t="str">
        <f t="shared" si="15"/>
        <v>Medium (11-20%)</v>
      </c>
    </row>
    <row r="986" spans="1:19" x14ac:dyDescent="0.2">
      <c r="A986" t="s">
        <v>1815</v>
      </c>
      <c r="B986" s="3" t="s">
        <v>1816</v>
      </c>
      <c r="C986" t="s">
        <v>841</v>
      </c>
      <c r="D986" t="s">
        <v>48</v>
      </c>
      <c r="E986" t="s">
        <v>110</v>
      </c>
      <c r="F986" t="s">
        <v>55</v>
      </c>
      <c r="G986" t="s">
        <v>56</v>
      </c>
      <c r="H986" t="s">
        <v>57</v>
      </c>
      <c r="I986" s="4">
        <v>2358.15</v>
      </c>
      <c r="J986">
        <v>3</v>
      </c>
      <c r="K986" s="2">
        <v>0.25</v>
      </c>
      <c r="L986" s="4">
        <v>-342.56</v>
      </c>
      <c r="M986" t="s">
        <v>87</v>
      </c>
      <c r="N986" t="s">
        <v>32</v>
      </c>
      <c r="O986">
        <f>YEAR(Table1[[#This Row],[Order Date]])</f>
        <v>2025</v>
      </c>
      <c r="P986" t="str">
        <f>TEXT(Table1[[#This Row],[Order Date]],"mmmm")</f>
        <v>January</v>
      </c>
      <c r="Q986" t="str">
        <f>TEXT(Table1[[#This Row],[Order Date]],"mm")</f>
        <v>01</v>
      </c>
      <c r="R986" s="2">
        <f>Table1[[#This Row],[Profit]]/Table1[[#This Row],[Sales]]</f>
        <v>-0.14526641647053834</v>
      </c>
      <c r="S986" t="str">
        <f t="shared" si="15"/>
        <v>High (21-30%)</v>
      </c>
    </row>
    <row r="987" spans="1:19" x14ac:dyDescent="0.2">
      <c r="A987" t="s">
        <v>1817</v>
      </c>
      <c r="B987" s="3" t="s">
        <v>698</v>
      </c>
      <c r="C987" t="s">
        <v>442</v>
      </c>
      <c r="D987" t="s">
        <v>137</v>
      </c>
      <c r="E987" t="s">
        <v>242</v>
      </c>
      <c r="F987" t="s">
        <v>67</v>
      </c>
      <c r="G987" t="s">
        <v>85</v>
      </c>
      <c r="H987" t="s">
        <v>253</v>
      </c>
      <c r="I987" s="4">
        <v>1295.1600000000001</v>
      </c>
      <c r="J987">
        <v>2</v>
      </c>
      <c r="K987" s="2">
        <v>0.3</v>
      </c>
      <c r="L987" s="4">
        <v>62.67</v>
      </c>
      <c r="M987" t="s">
        <v>107</v>
      </c>
      <c r="N987" t="s">
        <v>23</v>
      </c>
      <c r="O987">
        <f>YEAR(Table1[[#This Row],[Order Date]])</f>
        <v>2024</v>
      </c>
      <c r="P987" t="str">
        <f>TEXT(Table1[[#This Row],[Order Date]],"mmmm")</f>
        <v>March</v>
      </c>
      <c r="Q987" t="str">
        <f>TEXT(Table1[[#This Row],[Order Date]],"mm")</f>
        <v>03</v>
      </c>
      <c r="R987" s="2">
        <f>Table1[[#This Row],[Profit]]/Table1[[#This Row],[Sales]]</f>
        <v>4.8387843972945425E-2</v>
      </c>
      <c r="S987" t="str">
        <f t="shared" si="15"/>
        <v>High (21-30%)</v>
      </c>
    </row>
    <row r="988" spans="1:19" x14ac:dyDescent="0.2">
      <c r="A988" t="s">
        <v>1818</v>
      </c>
      <c r="B988" s="3" t="s">
        <v>1571</v>
      </c>
      <c r="C988" t="s">
        <v>807</v>
      </c>
      <c r="D988" t="s">
        <v>27</v>
      </c>
      <c r="E988" t="s">
        <v>28</v>
      </c>
      <c r="F988" t="s">
        <v>55</v>
      </c>
      <c r="G988" t="s">
        <v>98</v>
      </c>
      <c r="H988" t="s">
        <v>154</v>
      </c>
      <c r="I988" s="4">
        <v>299.45999999999998</v>
      </c>
      <c r="J988">
        <v>1</v>
      </c>
      <c r="K988" s="2">
        <v>0</v>
      </c>
      <c r="L988" s="4">
        <v>120.22</v>
      </c>
      <c r="M988" t="s">
        <v>87</v>
      </c>
      <c r="N988" t="s">
        <v>23</v>
      </c>
      <c r="O988">
        <f>YEAR(Table1[[#This Row],[Order Date]])</f>
        <v>2024</v>
      </c>
      <c r="P988" t="str">
        <f>TEXT(Table1[[#This Row],[Order Date]],"mmmm")</f>
        <v>June</v>
      </c>
      <c r="Q988" t="str">
        <f>TEXT(Table1[[#This Row],[Order Date]],"mm")</f>
        <v>06</v>
      </c>
      <c r="R988" s="2">
        <f>Table1[[#This Row],[Profit]]/Table1[[#This Row],[Sales]]</f>
        <v>0.40145595405062451</v>
      </c>
      <c r="S988" t="str">
        <f t="shared" si="15"/>
        <v>No Discount</v>
      </c>
    </row>
    <row r="989" spans="1:19" x14ac:dyDescent="0.2">
      <c r="A989" t="s">
        <v>1819</v>
      </c>
      <c r="B989" s="3" t="s">
        <v>1136</v>
      </c>
      <c r="C989" t="s">
        <v>218</v>
      </c>
      <c r="D989" t="s">
        <v>137</v>
      </c>
      <c r="E989" t="s">
        <v>242</v>
      </c>
      <c r="F989" t="s">
        <v>19</v>
      </c>
      <c r="G989" t="s">
        <v>29</v>
      </c>
      <c r="H989" t="s">
        <v>199</v>
      </c>
      <c r="I989" s="4">
        <v>8178.66</v>
      </c>
      <c r="J989">
        <v>7</v>
      </c>
      <c r="K989" s="2">
        <v>0.05</v>
      </c>
      <c r="L989" s="4">
        <v>316.08</v>
      </c>
      <c r="M989" t="s">
        <v>63</v>
      </c>
      <c r="N989" t="s">
        <v>32</v>
      </c>
      <c r="O989">
        <f>YEAR(Table1[[#This Row],[Order Date]])</f>
        <v>2024</v>
      </c>
      <c r="P989" t="str">
        <f>TEXT(Table1[[#This Row],[Order Date]],"mmmm")</f>
        <v>December</v>
      </c>
      <c r="Q989" t="str">
        <f>TEXT(Table1[[#This Row],[Order Date]],"mm")</f>
        <v>12</v>
      </c>
      <c r="R989" s="2">
        <f>Table1[[#This Row],[Profit]]/Table1[[#This Row],[Sales]]</f>
        <v>3.8646917710236151E-2</v>
      </c>
      <c r="S989" t="str">
        <f t="shared" si="15"/>
        <v>Low (1-10%)</v>
      </c>
    </row>
    <row r="990" spans="1:19" x14ac:dyDescent="0.2">
      <c r="A990" t="s">
        <v>1820</v>
      </c>
      <c r="B990" s="3" t="s">
        <v>1659</v>
      </c>
      <c r="C990" t="s">
        <v>120</v>
      </c>
      <c r="D990" t="s">
        <v>48</v>
      </c>
      <c r="E990" t="s">
        <v>73</v>
      </c>
      <c r="F990" t="s">
        <v>67</v>
      </c>
      <c r="G990" t="s">
        <v>85</v>
      </c>
      <c r="H990" t="s">
        <v>125</v>
      </c>
      <c r="I990" s="4">
        <v>1793.54</v>
      </c>
      <c r="J990">
        <v>7</v>
      </c>
      <c r="K990" s="2">
        <v>0.25</v>
      </c>
      <c r="L990" s="4">
        <v>56.25</v>
      </c>
      <c r="M990" t="s">
        <v>87</v>
      </c>
      <c r="N990" t="s">
        <v>76</v>
      </c>
      <c r="O990">
        <f>YEAR(Table1[[#This Row],[Order Date]])</f>
        <v>2025</v>
      </c>
      <c r="P990" t="str">
        <f>TEXT(Table1[[#This Row],[Order Date]],"mmmm")</f>
        <v>October</v>
      </c>
      <c r="Q990" t="str">
        <f>TEXT(Table1[[#This Row],[Order Date]],"mm")</f>
        <v>10</v>
      </c>
      <c r="R990" s="2">
        <f>Table1[[#This Row],[Profit]]/Table1[[#This Row],[Sales]]</f>
        <v>3.13625567313804E-2</v>
      </c>
      <c r="S990" t="str">
        <f t="shared" si="15"/>
        <v>High (21-30%)</v>
      </c>
    </row>
    <row r="991" spans="1:19" x14ac:dyDescent="0.2">
      <c r="A991" t="s">
        <v>1821</v>
      </c>
      <c r="B991" s="3" t="s">
        <v>1722</v>
      </c>
      <c r="C991" t="s">
        <v>468</v>
      </c>
      <c r="D991" t="s">
        <v>27</v>
      </c>
      <c r="E991" t="s">
        <v>124</v>
      </c>
      <c r="F991" t="s">
        <v>67</v>
      </c>
      <c r="G991" t="s">
        <v>85</v>
      </c>
      <c r="H991" t="s">
        <v>253</v>
      </c>
      <c r="I991" s="4">
        <v>7369.3</v>
      </c>
      <c r="J991">
        <v>10</v>
      </c>
      <c r="K991" s="2">
        <v>0.1</v>
      </c>
      <c r="L991" s="4">
        <v>128.79</v>
      </c>
      <c r="M991" t="s">
        <v>63</v>
      </c>
      <c r="N991" t="s">
        <v>23</v>
      </c>
      <c r="O991">
        <f>YEAR(Table1[[#This Row],[Order Date]])</f>
        <v>2025</v>
      </c>
      <c r="P991" t="str">
        <f>TEXT(Table1[[#This Row],[Order Date]],"mmmm")</f>
        <v>February</v>
      </c>
      <c r="Q991" t="str">
        <f>TEXT(Table1[[#This Row],[Order Date]],"mm")</f>
        <v>02</v>
      </c>
      <c r="R991" s="2">
        <f>Table1[[#This Row],[Profit]]/Table1[[#This Row],[Sales]]</f>
        <v>1.7476558153420269E-2</v>
      </c>
      <c r="S991" t="str">
        <f t="shared" si="15"/>
        <v>Low (1-10%)</v>
      </c>
    </row>
    <row r="992" spans="1:19" x14ac:dyDescent="0.2">
      <c r="A992" t="s">
        <v>1822</v>
      </c>
      <c r="B992" s="3" t="s">
        <v>1270</v>
      </c>
      <c r="C992" t="s">
        <v>340</v>
      </c>
      <c r="D992" t="s">
        <v>48</v>
      </c>
      <c r="E992" t="s">
        <v>49</v>
      </c>
      <c r="F992" t="s">
        <v>19</v>
      </c>
      <c r="G992" t="s">
        <v>20</v>
      </c>
      <c r="H992" t="s">
        <v>239</v>
      </c>
      <c r="I992" s="4">
        <v>7309.68</v>
      </c>
      <c r="J992">
        <v>8</v>
      </c>
      <c r="K992" s="2">
        <v>0</v>
      </c>
      <c r="L992" s="4">
        <v>2359.42</v>
      </c>
      <c r="M992" t="s">
        <v>44</v>
      </c>
      <c r="N992" t="s">
        <v>23</v>
      </c>
      <c r="O992">
        <f>YEAR(Table1[[#This Row],[Order Date]])</f>
        <v>2024</v>
      </c>
      <c r="P992" t="str">
        <f>TEXT(Table1[[#This Row],[Order Date]],"mmmm")</f>
        <v>March</v>
      </c>
      <c r="Q992" t="str">
        <f>TEXT(Table1[[#This Row],[Order Date]],"mm")</f>
        <v>03</v>
      </c>
      <c r="R992" s="2">
        <f>Table1[[#This Row],[Profit]]/Table1[[#This Row],[Sales]]</f>
        <v>0.32278020378457062</v>
      </c>
      <c r="S992" t="str">
        <f t="shared" si="15"/>
        <v>No Discount</v>
      </c>
    </row>
    <row r="993" spans="1:19" x14ac:dyDescent="0.2">
      <c r="A993" t="s">
        <v>1823</v>
      </c>
      <c r="B993" s="3" t="s">
        <v>1541</v>
      </c>
      <c r="C993" t="s">
        <v>1646</v>
      </c>
      <c r="D993" t="s">
        <v>137</v>
      </c>
      <c r="E993" t="s">
        <v>160</v>
      </c>
      <c r="F993" t="s">
        <v>19</v>
      </c>
      <c r="G993" t="s">
        <v>36</v>
      </c>
      <c r="H993" t="s">
        <v>37</v>
      </c>
      <c r="I993" s="4">
        <v>1539.21</v>
      </c>
      <c r="J993">
        <v>3</v>
      </c>
      <c r="K993" s="2">
        <v>0.15</v>
      </c>
      <c r="L993" s="4">
        <v>431.45</v>
      </c>
      <c r="M993" t="s">
        <v>22</v>
      </c>
      <c r="N993" t="s">
        <v>39</v>
      </c>
      <c r="O993">
        <f>YEAR(Table1[[#This Row],[Order Date]])</f>
        <v>2025</v>
      </c>
      <c r="P993" t="str">
        <f>TEXT(Table1[[#This Row],[Order Date]],"mmmm")</f>
        <v>December</v>
      </c>
      <c r="Q993" t="str">
        <f>TEXT(Table1[[#This Row],[Order Date]],"mm")</f>
        <v>12</v>
      </c>
      <c r="R993" s="2">
        <f>Table1[[#This Row],[Profit]]/Table1[[#This Row],[Sales]]</f>
        <v>0.28030613106723579</v>
      </c>
      <c r="S993" t="str">
        <f t="shared" si="15"/>
        <v>Medium (11-20%)</v>
      </c>
    </row>
    <row r="994" spans="1:19" x14ac:dyDescent="0.2">
      <c r="A994" t="s">
        <v>1824</v>
      </c>
      <c r="B994" s="3" t="s">
        <v>397</v>
      </c>
      <c r="C994" t="s">
        <v>439</v>
      </c>
      <c r="D994" t="s">
        <v>48</v>
      </c>
      <c r="E994" t="s">
        <v>49</v>
      </c>
      <c r="F994" t="s">
        <v>55</v>
      </c>
      <c r="G994" t="s">
        <v>56</v>
      </c>
      <c r="H994" t="s">
        <v>57</v>
      </c>
      <c r="I994" s="4">
        <v>2703.12</v>
      </c>
      <c r="J994">
        <v>7</v>
      </c>
      <c r="K994" s="2">
        <v>0</v>
      </c>
      <c r="L994" s="4">
        <v>940.01</v>
      </c>
      <c r="M994" t="s">
        <v>44</v>
      </c>
      <c r="N994" t="s">
        <v>76</v>
      </c>
      <c r="O994">
        <f>YEAR(Table1[[#This Row],[Order Date]])</f>
        <v>2025</v>
      </c>
      <c r="P994" t="str">
        <f>TEXT(Table1[[#This Row],[Order Date]],"mmmm")</f>
        <v>July</v>
      </c>
      <c r="Q994" t="str">
        <f>TEXT(Table1[[#This Row],[Order Date]],"mm")</f>
        <v>07</v>
      </c>
      <c r="R994" s="2">
        <f>Table1[[#This Row],[Profit]]/Table1[[#This Row],[Sales]]</f>
        <v>0.34775000739885764</v>
      </c>
      <c r="S994" t="str">
        <f t="shared" si="15"/>
        <v>No Discount</v>
      </c>
    </row>
    <row r="995" spans="1:19" x14ac:dyDescent="0.2">
      <c r="A995" t="s">
        <v>1825</v>
      </c>
      <c r="B995" s="3" t="s">
        <v>884</v>
      </c>
      <c r="C995" t="s">
        <v>327</v>
      </c>
      <c r="D995" t="s">
        <v>48</v>
      </c>
      <c r="E995" t="s">
        <v>110</v>
      </c>
      <c r="F995" t="s">
        <v>55</v>
      </c>
      <c r="G995" t="s">
        <v>56</v>
      </c>
      <c r="H995" t="s">
        <v>129</v>
      </c>
      <c r="I995" s="4">
        <v>5973.3</v>
      </c>
      <c r="J995">
        <v>9</v>
      </c>
      <c r="K995" s="2">
        <v>0.1</v>
      </c>
      <c r="L995" s="4">
        <v>867.98</v>
      </c>
      <c r="M995" t="s">
        <v>63</v>
      </c>
      <c r="N995" t="s">
        <v>76</v>
      </c>
      <c r="O995">
        <f>YEAR(Table1[[#This Row],[Order Date]])</f>
        <v>2024</v>
      </c>
      <c r="P995" t="str">
        <f>TEXT(Table1[[#This Row],[Order Date]],"mmmm")</f>
        <v>January</v>
      </c>
      <c r="Q995" t="str">
        <f>TEXT(Table1[[#This Row],[Order Date]],"mm")</f>
        <v>01</v>
      </c>
      <c r="R995" s="2">
        <f>Table1[[#This Row],[Profit]]/Table1[[#This Row],[Sales]]</f>
        <v>0.14530996266720239</v>
      </c>
      <c r="S995" t="str">
        <f t="shared" si="15"/>
        <v>Low (1-10%)</v>
      </c>
    </row>
    <row r="996" spans="1:19" x14ac:dyDescent="0.2">
      <c r="A996" t="s">
        <v>1826</v>
      </c>
      <c r="B996" s="3" t="s">
        <v>441</v>
      </c>
      <c r="C996" t="s">
        <v>418</v>
      </c>
      <c r="D996" t="s">
        <v>17</v>
      </c>
      <c r="E996" t="s">
        <v>80</v>
      </c>
      <c r="F996" t="s">
        <v>67</v>
      </c>
      <c r="G996" t="s">
        <v>115</v>
      </c>
      <c r="H996" t="s">
        <v>116</v>
      </c>
      <c r="I996" s="4">
        <v>5162.08</v>
      </c>
      <c r="J996">
        <v>7</v>
      </c>
      <c r="K996" s="2">
        <v>0.15</v>
      </c>
      <c r="L996" s="4">
        <v>-74.239999999999995</v>
      </c>
      <c r="M996" t="s">
        <v>22</v>
      </c>
      <c r="N996" t="s">
        <v>76</v>
      </c>
      <c r="O996">
        <f>YEAR(Table1[[#This Row],[Order Date]])</f>
        <v>2025</v>
      </c>
      <c r="P996" t="str">
        <f>TEXT(Table1[[#This Row],[Order Date]],"mmmm")</f>
        <v>July</v>
      </c>
      <c r="Q996" t="str">
        <f>TEXT(Table1[[#This Row],[Order Date]],"mm")</f>
        <v>07</v>
      </c>
      <c r="R996" s="2">
        <f>Table1[[#This Row],[Profit]]/Table1[[#This Row],[Sales]]</f>
        <v>-1.4381799584663546E-2</v>
      </c>
      <c r="S996" t="str">
        <f t="shared" si="15"/>
        <v>Medium (11-20%)</v>
      </c>
    </row>
    <row r="997" spans="1:19" x14ac:dyDescent="0.2">
      <c r="A997" t="s">
        <v>1827</v>
      </c>
      <c r="B997" s="3" t="s">
        <v>46</v>
      </c>
      <c r="C997" t="s">
        <v>90</v>
      </c>
      <c r="D997" t="s">
        <v>27</v>
      </c>
      <c r="E997" t="s">
        <v>43</v>
      </c>
      <c r="F997" t="s">
        <v>19</v>
      </c>
      <c r="G997" t="s">
        <v>36</v>
      </c>
      <c r="H997" t="s">
        <v>111</v>
      </c>
      <c r="I997" s="4">
        <v>1363.59</v>
      </c>
      <c r="J997">
        <v>3</v>
      </c>
      <c r="K997" s="2">
        <v>0.1</v>
      </c>
      <c r="L997" s="4">
        <v>470.13</v>
      </c>
      <c r="M997" t="s">
        <v>38</v>
      </c>
      <c r="N997" t="s">
        <v>39</v>
      </c>
      <c r="O997">
        <f>YEAR(Table1[[#This Row],[Order Date]])</f>
        <v>2025</v>
      </c>
      <c r="P997" t="str">
        <f>TEXT(Table1[[#This Row],[Order Date]],"mmmm")</f>
        <v>February</v>
      </c>
      <c r="Q997" t="str">
        <f>TEXT(Table1[[#This Row],[Order Date]],"mm")</f>
        <v>02</v>
      </c>
      <c r="R997" s="2">
        <f>Table1[[#This Row],[Profit]]/Table1[[#This Row],[Sales]]</f>
        <v>0.34477372230655845</v>
      </c>
      <c r="S997" t="str">
        <f t="shared" si="15"/>
        <v>Low (1-10%)</v>
      </c>
    </row>
    <row r="998" spans="1:19" x14ac:dyDescent="0.2">
      <c r="A998" t="s">
        <v>1828</v>
      </c>
      <c r="B998" s="3" t="s">
        <v>823</v>
      </c>
      <c r="C998" t="s">
        <v>1062</v>
      </c>
      <c r="D998" t="s">
        <v>48</v>
      </c>
      <c r="E998" t="s">
        <v>73</v>
      </c>
      <c r="F998" t="s">
        <v>67</v>
      </c>
      <c r="G998" t="s">
        <v>115</v>
      </c>
      <c r="H998" t="s">
        <v>116</v>
      </c>
      <c r="I998" s="4">
        <v>4257.6099999999997</v>
      </c>
      <c r="J998">
        <v>7</v>
      </c>
      <c r="K998" s="2">
        <v>0.2</v>
      </c>
      <c r="L998" s="4">
        <v>885.3</v>
      </c>
      <c r="M998" t="s">
        <v>117</v>
      </c>
      <c r="N998" t="s">
        <v>23</v>
      </c>
      <c r="O998">
        <f>YEAR(Table1[[#This Row],[Order Date]])</f>
        <v>2024</v>
      </c>
      <c r="P998" t="str">
        <f>TEXT(Table1[[#This Row],[Order Date]],"mmmm")</f>
        <v>May</v>
      </c>
      <c r="Q998" t="str">
        <f>TEXT(Table1[[#This Row],[Order Date]],"mm")</f>
        <v>05</v>
      </c>
      <c r="R998" s="2">
        <f>Table1[[#This Row],[Profit]]/Table1[[#This Row],[Sales]]</f>
        <v>0.2079335589685293</v>
      </c>
      <c r="S998" t="str">
        <f t="shared" si="15"/>
        <v>Medium (11-20%)</v>
      </c>
    </row>
    <row r="999" spans="1:19" x14ac:dyDescent="0.2">
      <c r="A999" t="s">
        <v>1829</v>
      </c>
      <c r="B999" s="3" t="s">
        <v>390</v>
      </c>
      <c r="C999" t="s">
        <v>378</v>
      </c>
      <c r="D999" t="s">
        <v>27</v>
      </c>
      <c r="E999" t="s">
        <v>28</v>
      </c>
      <c r="F999" t="s">
        <v>55</v>
      </c>
      <c r="G999" t="s">
        <v>56</v>
      </c>
      <c r="H999" t="s">
        <v>129</v>
      </c>
      <c r="I999" s="4">
        <v>2930.27</v>
      </c>
      <c r="J999">
        <v>7</v>
      </c>
      <c r="K999" s="2">
        <v>0</v>
      </c>
      <c r="L999" s="4">
        <v>1168.75</v>
      </c>
      <c r="M999" t="s">
        <v>87</v>
      </c>
      <c r="N999" t="s">
        <v>76</v>
      </c>
      <c r="O999">
        <f>YEAR(Table1[[#This Row],[Order Date]])</f>
        <v>2024</v>
      </c>
      <c r="P999" t="str">
        <f>TEXT(Table1[[#This Row],[Order Date]],"mmmm")</f>
        <v>January</v>
      </c>
      <c r="Q999" t="str">
        <f>TEXT(Table1[[#This Row],[Order Date]],"mm")</f>
        <v>01</v>
      </c>
      <c r="R999" s="2">
        <f>Table1[[#This Row],[Profit]]/Table1[[#This Row],[Sales]]</f>
        <v>0.3988540305159593</v>
      </c>
      <c r="S999" t="str">
        <f t="shared" si="15"/>
        <v>No Discount</v>
      </c>
    </row>
    <row r="1000" spans="1:19" x14ac:dyDescent="0.2">
      <c r="A1000" t="s">
        <v>1830</v>
      </c>
      <c r="B1000" s="3" t="s">
        <v>1831</v>
      </c>
      <c r="C1000" t="s">
        <v>202</v>
      </c>
      <c r="D1000" t="s">
        <v>48</v>
      </c>
      <c r="E1000" t="s">
        <v>84</v>
      </c>
      <c r="F1000" t="s">
        <v>55</v>
      </c>
      <c r="G1000" t="s">
        <v>56</v>
      </c>
      <c r="H1000" t="s">
        <v>129</v>
      </c>
      <c r="I1000" s="4">
        <v>3425.5</v>
      </c>
      <c r="J1000">
        <v>10</v>
      </c>
      <c r="K1000" s="2">
        <v>0.2</v>
      </c>
      <c r="L1000" s="4">
        <v>657.03</v>
      </c>
      <c r="M1000" t="s">
        <v>143</v>
      </c>
      <c r="N1000" t="s">
        <v>23</v>
      </c>
      <c r="O1000">
        <f>YEAR(Table1[[#This Row],[Order Date]])</f>
        <v>2025</v>
      </c>
      <c r="P1000" t="str">
        <f>TEXT(Table1[[#This Row],[Order Date]],"mmmm")</f>
        <v>August</v>
      </c>
      <c r="Q1000" t="str">
        <f>TEXT(Table1[[#This Row],[Order Date]],"mm")</f>
        <v>08</v>
      </c>
      <c r="R1000" s="2">
        <f>Table1[[#This Row],[Profit]]/Table1[[#This Row],[Sales]]</f>
        <v>0.19180557582834623</v>
      </c>
      <c r="S1000" t="str">
        <f t="shared" si="15"/>
        <v>Medium (11-20%)</v>
      </c>
    </row>
    <row r="1001" spans="1:19" x14ac:dyDescent="0.2">
      <c r="A1001" t="s">
        <v>1832</v>
      </c>
      <c r="B1001" s="3" t="s">
        <v>436</v>
      </c>
      <c r="C1001" t="s">
        <v>238</v>
      </c>
      <c r="D1001" t="s">
        <v>27</v>
      </c>
      <c r="E1001" t="s">
        <v>43</v>
      </c>
      <c r="F1001" t="s">
        <v>55</v>
      </c>
      <c r="G1001" t="s">
        <v>98</v>
      </c>
      <c r="H1001" t="s">
        <v>154</v>
      </c>
      <c r="I1001" s="4">
        <v>5809.85</v>
      </c>
      <c r="J1001">
        <v>5</v>
      </c>
      <c r="K1001" s="2">
        <v>0.15</v>
      </c>
      <c r="L1001" s="4">
        <v>1528.75</v>
      </c>
      <c r="M1001" t="s">
        <v>63</v>
      </c>
      <c r="N1001" t="s">
        <v>23</v>
      </c>
      <c r="O1001">
        <f>YEAR(Table1[[#This Row],[Order Date]])</f>
        <v>2024</v>
      </c>
      <c r="P1001" t="str">
        <f>TEXT(Table1[[#This Row],[Order Date]],"mmmm")</f>
        <v>November</v>
      </c>
      <c r="Q1001" t="str">
        <f>TEXT(Table1[[#This Row],[Order Date]],"mm")</f>
        <v>11</v>
      </c>
      <c r="R1001" s="2">
        <f>Table1[[#This Row],[Profit]]/Table1[[#This Row],[Sales]]</f>
        <v>0.26313071766052476</v>
      </c>
      <c r="S1001" t="str">
        <f t="shared" si="15"/>
        <v>Medium (11-20%)</v>
      </c>
    </row>
  </sheetData>
  <mergeCells count="1">
    <mergeCell ref="AC2:AD2"/>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F8631-DB4B-304B-BFAC-E0ABBDBB6D27}">
  <dimension ref="A1:E162"/>
  <sheetViews>
    <sheetView topLeftCell="A91" zoomScale="56" zoomScaleNormal="215" workbookViewId="0">
      <selection activeCell="AA127" sqref="AA127"/>
    </sheetView>
  </sheetViews>
  <sheetFormatPr baseColWidth="10" defaultRowHeight="15" x14ac:dyDescent="0.2"/>
  <cols>
    <col min="1" max="1" width="13.5" bestFit="1" customWidth="1"/>
    <col min="2" max="2" width="11" bestFit="1" customWidth="1"/>
    <col min="3" max="3" width="11.83203125" bestFit="1" customWidth="1"/>
    <col min="4" max="4" width="21.83203125" bestFit="1" customWidth="1"/>
    <col min="5" max="5" width="12.83203125" bestFit="1" customWidth="1"/>
    <col min="6" max="19" width="9.1640625" bestFit="1" customWidth="1"/>
    <col min="20" max="170" width="7.83203125" bestFit="1" customWidth="1"/>
    <col min="171" max="241" width="6.83203125" bestFit="1" customWidth="1"/>
    <col min="242" max="261" width="6" bestFit="1" customWidth="1"/>
    <col min="262" max="279" width="5.33203125" bestFit="1" customWidth="1"/>
    <col min="280" max="437" width="6.33203125" bestFit="1" customWidth="1"/>
    <col min="438" max="845" width="7.1640625" bestFit="1" customWidth="1"/>
    <col min="846" max="996" width="8.6640625" bestFit="1" customWidth="1"/>
    <col min="997" max="997" width="10" bestFit="1" customWidth="1"/>
  </cols>
  <sheetData>
    <row r="1" spans="1:5" x14ac:dyDescent="0.2">
      <c r="A1" t="s">
        <v>1846</v>
      </c>
    </row>
    <row r="2" spans="1:5" x14ac:dyDescent="0.2">
      <c r="D2" s="24" t="s">
        <v>1866</v>
      </c>
      <c r="E2" s="24"/>
    </row>
    <row r="3" spans="1:5" x14ac:dyDescent="0.2">
      <c r="A3" s="6" t="s">
        <v>1848</v>
      </c>
      <c r="B3" t="s">
        <v>1847</v>
      </c>
      <c r="D3" t="s">
        <v>1838</v>
      </c>
      <c r="E3" s="4">
        <f>SUM(Table1[Sales])</f>
        <v>3465455.060000001</v>
      </c>
    </row>
    <row r="4" spans="1:5" x14ac:dyDescent="0.2">
      <c r="A4" s="7" t="s">
        <v>1849</v>
      </c>
      <c r="B4" s="4">
        <v>355999.32999999996</v>
      </c>
      <c r="D4" t="s">
        <v>1839</v>
      </c>
      <c r="E4" s="4">
        <f>SUM(Table1[Profit])</f>
        <v>359412.61000000028</v>
      </c>
    </row>
    <row r="5" spans="1:5" x14ac:dyDescent="0.2">
      <c r="A5" s="7" t="s">
        <v>1850</v>
      </c>
      <c r="B5" s="4">
        <v>140042.73000000001</v>
      </c>
      <c r="D5" t="s">
        <v>1867</v>
      </c>
      <c r="E5">
        <f>SUM(Table1[Quantity])</f>
        <v>5541</v>
      </c>
    </row>
    <row r="6" spans="1:5" x14ac:dyDescent="0.2">
      <c r="A6" s="7" t="s">
        <v>1851</v>
      </c>
      <c r="B6" s="4">
        <v>367070.95000000007</v>
      </c>
      <c r="D6" t="s">
        <v>1884</v>
      </c>
      <c r="E6" s="2">
        <f>AVERAGE(Table1[Profit Margin %])</f>
        <v>0.10481829443227618</v>
      </c>
    </row>
    <row r="7" spans="1:5" x14ac:dyDescent="0.2">
      <c r="A7" s="7" t="s">
        <v>1852</v>
      </c>
      <c r="B7" s="4">
        <v>310082.86000000004</v>
      </c>
    </row>
    <row r="8" spans="1:5" x14ac:dyDescent="0.2">
      <c r="A8" s="7" t="s">
        <v>1853</v>
      </c>
      <c r="B8" s="4">
        <v>266511</v>
      </c>
    </row>
    <row r="9" spans="1:5" x14ac:dyDescent="0.2">
      <c r="A9" s="7" t="s">
        <v>1854</v>
      </c>
      <c r="B9" s="4">
        <v>287893.18</v>
      </c>
    </row>
    <row r="10" spans="1:5" x14ac:dyDescent="0.2">
      <c r="A10" s="7" t="s">
        <v>1855</v>
      </c>
      <c r="B10" s="4">
        <v>346784.4800000001</v>
      </c>
    </row>
    <row r="11" spans="1:5" x14ac:dyDescent="0.2">
      <c r="A11" s="7" t="s">
        <v>1856</v>
      </c>
      <c r="B11" s="4">
        <v>239372.65000000008</v>
      </c>
    </row>
    <row r="12" spans="1:5" x14ac:dyDescent="0.2">
      <c r="A12" s="7" t="s">
        <v>1857</v>
      </c>
      <c r="B12" s="4">
        <v>297494.26</v>
      </c>
    </row>
    <row r="13" spans="1:5" x14ac:dyDescent="0.2">
      <c r="A13" s="7" t="s">
        <v>1858</v>
      </c>
      <c r="B13" s="4">
        <v>225012.92999999996</v>
      </c>
    </row>
    <row r="14" spans="1:5" x14ac:dyDescent="0.2">
      <c r="A14" s="7" t="s">
        <v>1859</v>
      </c>
      <c r="B14" s="4">
        <v>284343.11000000004</v>
      </c>
    </row>
    <row r="15" spans="1:5" x14ac:dyDescent="0.2">
      <c r="A15" s="7" t="s">
        <v>1860</v>
      </c>
      <c r="B15" s="4">
        <v>344847.57999999996</v>
      </c>
    </row>
    <row r="16" spans="1:5" x14ac:dyDescent="0.2">
      <c r="A16" s="7" t="s">
        <v>1861</v>
      </c>
      <c r="B16" s="4">
        <v>3465455.0600000005</v>
      </c>
    </row>
    <row r="18" spans="1:2" x14ac:dyDescent="0.2">
      <c r="A18" s="7" t="s">
        <v>1862</v>
      </c>
    </row>
    <row r="20" spans="1:2" x14ac:dyDescent="0.2">
      <c r="A20" s="6" t="s">
        <v>1848</v>
      </c>
      <c r="B20" t="s">
        <v>1863</v>
      </c>
    </row>
    <row r="21" spans="1:2" x14ac:dyDescent="0.2">
      <c r="A21" s="7" t="s">
        <v>1849</v>
      </c>
      <c r="B21" s="4">
        <v>44290.710000000014</v>
      </c>
    </row>
    <row r="22" spans="1:2" x14ac:dyDescent="0.2">
      <c r="A22" s="7" t="s">
        <v>1850</v>
      </c>
      <c r="B22" s="4">
        <v>9348.99</v>
      </c>
    </row>
    <row r="23" spans="1:2" x14ac:dyDescent="0.2">
      <c r="A23" s="7" t="s">
        <v>1851</v>
      </c>
      <c r="B23" s="4">
        <v>35843.57</v>
      </c>
    </row>
    <row r="24" spans="1:2" x14ac:dyDescent="0.2">
      <c r="A24" s="7" t="s">
        <v>1852</v>
      </c>
      <c r="B24" s="4">
        <v>24943.44999999999</v>
      </c>
    </row>
    <row r="25" spans="1:2" x14ac:dyDescent="0.2">
      <c r="A25" s="7" t="s">
        <v>1853</v>
      </c>
      <c r="B25" s="4">
        <v>26622.010000000002</v>
      </c>
    </row>
    <row r="26" spans="1:2" x14ac:dyDescent="0.2">
      <c r="A26" s="7" t="s">
        <v>1854</v>
      </c>
      <c r="B26" s="4">
        <v>31035.030000000002</v>
      </c>
    </row>
    <row r="27" spans="1:2" x14ac:dyDescent="0.2">
      <c r="A27" s="7" t="s">
        <v>1855</v>
      </c>
      <c r="B27" s="4">
        <v>37681.550000000003</v>
      </c>
    </row>
    <row r="28" spans="1:2" x14ac:dyDescent="0.2">
      <c r="A28" s="7" t="s">
        <v>1856</v>
      </c>
      <c r="B28" s="4">
        <v>27130.529999999995</v>
      </c>
    </row>
    <row r="29" spans="1:2" x14ac:dyDescent="0.2">
      <c r="A29" s="7" t="s">
        <v>1857</v>
      </c>
      <c r="B29" s="4">
        <v>35406.109999999979</v>
      </c>
    </row>
    <row r="30" spans="1:2" x14ac:dyDescent="0.2">
      <c r="A30" s="7" t="s">
        <v>1858</v>
      </c>
      <c r="B30" s="4">
        <v>21609.420000000002</v>
      </c>
    </row>
    <row r="31" spans="1:2" x14ac:dyDescent="0.2">
      <c r="A31" s="7" t="s">
        <v>1859</v>
      </c>
      <c r="B31" s="4">
        <v>26471.029999999995</v>
      </c>
    </row>
    <row r="32" spans="1:2" x14ac:dyDescent="0.2">
      <c r="A32" s="7" t="s">
        <v>1860</v>
      </c>
      <c r="B32" s="4">
        <v>39030.21</v>
      </c>
    </row>
    <row r="33" spans="1:3" x14ac:dyDescent="0.2">
      <c r="A33" s="7" t="s">
        <v>1861</v>
      </c>
      <c r="B33" s="4">
        <v>359412.60999999993</v>
      </c>
    </row>
    <row r="35" spans="1:3" x14ac:dyDescent="0.2">
      <c r="A35" s="7" t="s">
        <v>1864</v>
      </c>
    </row>
    <row r="37" spans="1:3" x14ac:dyDescent="0.2">
      <c r="A37" s="6" t="s">
        <v>1848</v>
      </c>
      <c r="B37" t="s">
        <v>1865</v>
      </c>
    </row>
    <row r="38" spans="1:3" x14ac:dyDescent="0.2">
      <c r="A38" s="7">
        <v>2024</v>
      </c>
      <c r="B38" s="8">
        <v>0.11391744637612898</v>
      </c>
    </row>
    <row r="39" spans="1:3" x14ac:dyDescent="0.2">
      <c r="A39" s="7">
        <v>2025</v>
      </c>
      <c r="B39" s="8">
        <v>9.5117545665689307E-2</v>
      </c>
    </row>
    <row r="40" spans="1:3" x14ac:dyDescent="0.2">
      <c r="A40" s="7" t="s">
        <v>1861</v>
      </c>
      <c r="B40" s="8">
        <v>0.10481829443227607</v>
      </c>
    </row>
    <row r="43" spans="1:3" x14ac:dyDescent="0.2">
      <c r="A43" t="s">
        <v>1868</v>
      </c>
    </row>
    <row r="44" spans="1:3" x14ac:dyDescent="0.2">
      <c r="A44" s="6" t="s">
        <v>1848</v>
      </c>
      <c r="B44" t="s">
        <v>1863</v>
      </c>
      <c r="C44" t="s">
        <v>1847</v>
      </c>
    </row>
    <row r="45" spans="1:3" x14ac:dyDescent="0.2">
      <c r="A45" s="7" t="s">
        <v>137</v>
      </c>
      <c r="B45" s="4">
        <v>92854.749999999956</v>
      </c>
      <c r="C45" s="4">
        <v>888709.5399999998</v>
      </c>
    </row>
    <row r="46" spans="1:3" x14ac:dyDescent="0.2">
      <c r="A46" s="7" t="s">
        <v>48</v>
      </c>
      <c r="B46" s="4">
        <v>97129.51</v>
      </c>
      <c r="C46" s="4">
        <v>889350.76000000013</v>
      </c>
    </row>
    <row r="47" spans="1:3" x14ac:dyDescent="0.2">
      <c r="A47" s="7" t="s">
        <v>17</v>
      </c>
      <c r="B47" s="4">
        <v>80293.75999999998</v>
      </c>
      <c r="C47" s="4">
        <v>794744.14999999991</v>
      </c>
    </row>
    <row r="48" spans="1:3" x14ac:dyDescent="0.2">
      <c r="A48" s="7" t="s">
        <v>27</v>
      </c>
      <c r="B48" s="4">
        <v>89134.59</v>
      </c>
      <c r="C48" s="4">
        <v>892650.60999999975</v>
      </c>
    </row>
    <row r="49" spans="1:3" x14ac:dyDescent="0.2">
      <c r="A49" s="7" t="s">
        <v>1861</v>
      </c>
      <c r="B49" s="4">
        <v>359412.60999999987</v>
      </c>
      <c r="C49" s="4">
        <v>3465455.0599999996</v>
      </c>
    </row>
    <row r="51" spans="1:3" x14ac:dyDescent="0.2">
      <c r="A51" s="7" t="s">
        <v>1869</v>
      </c>
    </row>
    <row r="52" spans="1:3" x14ac:dyDescent="0.2">
      <c r="A52" s="6" t="s">
        <v>1848</v>
      </c>
      <c r="B52" t="s">
        <v>1847</v>
      </c>
    </row>
    <row r="53" spans="1:3" x14ac:dyDescent="0.2">
      <c r="A53" s="7" t="s">
        <v>242</v>
      </c>
      <c r="B53" s="4">
        <v>265975.67</v>
      </c>
    </row>
    <row r="54" spans="1:3" x14ac:dyDescent="0.2">
      <c r="A54" s="7" t="s">
        <v>160</v>
      </c>
      <c r="B54" s="4">
        <v>192179.78</v>
      </c>
    </row>
    <row r="55" spans="1:3" x14ac:dyDescent="0.2">
      <c r="A55" s="7" t="s">
        <v>110</v>
      </c>
      <c r="B55" s="4">
        <v>237996.02999999997</v>
      </c>
    </row>
    <row r="56" spans="1:3" x14ac:dyDescent="0.2">
      <c r="A56" s="7" t="s">
        <v>124</v>
      </c>
      <c r="B56" s="4">
        <v>151554.30999999994</v>
      </c>
    </row>
    <row r="57" spans="1:3" x14ac:dyDescent="0.2">
      <c r="A57" s="7" t="s">
        <v>28</v>
      </c>
      <c r="B57" s="4">
        <v>246162.09000000003</v>
      </c>
    </row>
    <row r="58" spans="1:3" x14ac:dyDescent="0.2">
      <c r="A58" s="7" t="s">
        <v>84</v>
      </c>
      <c r="B58" s="4">
        <v>225341.97000000006</v>
      </c>
    </row>
    <row r="59" spans="1:3" x14ac:dyDescent="0.2">
      <c r="A59" s="7" t="s">
        <v>18</v>
      </c>
      <c r="B59" s="4">
        <v>204109.64999999997</v>
      </c>
    </row>
    <row r="60" spans="1:3" x14ac:dyDescent="0.2">
      <c r="A60" s="7" t="s">
        <v>97</v>
      </c>
      <c r="B60" s="4">
        <v>155095.1</v>
      </c>
    </row>
    <row r="61" spans="1:3" x14ac:dyDescent="0.2">
      <c r="A61" s="7" t="s">
        <v>61</v>
      </c>
      <c r="B61" s="4">
        <v>219542.77000000002</v>
      </c>
    </row>
    <row r="62" spans="1:3" x14ac:dyDescent="0.2">
      <c r="A62" s="7" t="s">
        <v>138</v>
      </c>
      <c r="B62" s="4">
        <v>204747.71999999991</v>
      </c>
    </row>
    <row r="63" spans="1:3" x14ac:dyDescent="0.2">
      <c r="A63" s="7" t="s">
        <v>49</v>
      </c>
      <c r="B63" s="4">
        <v>226758.06999999992</v>
      </c>
    </row>
    <row r="64" spans="1:3" x14ac:dyDescent="0.2">
      <c r="A64" s="7" t="s">
        <v>43</v>
      </c>
      <c r="B64" s="4">
        <v>275391.43999999994</v>
      </c>
    </row>
    <row r="65" spans="1:2" x14ac:dyDescent="0.2">
      <c r="A65" s="7" t="s">
        <v>54</v>
      </c>
      <c r="B65" s="4">
        <v>273789.92000000004</v>
      </c>
    </row>
    <row r="66" spans="1:2" x14ac:dyDescent="0.2">
      <c r="A66" s="7" t="s">
        <v>80</v>
      </c>
      <c r="B66" s="4">
        <v>161749.47999999998</v>
      </c>
    </row>
    <row r="67" spans="1:2" x14ac:dyDescent="0.2">
      <c r="A67" s="7" t="s">
        <v>73</v>
      </c>
      <c r="B67" s="4">
        <v>199254.69000000003</v>
      </c>
    </row>
    <row r="68" spans="1:2" x14ac:dyDescent="0.2">
      <c r="A68" s="7" t="s">
        <v>142</v>
      </c>
      <c r="B68" s="4">
        <v>225806.36999999997</v>
      </c>
    </row>
    <row r="69" spans="1:2" x14ac:dyDescent="0.2">
      <c r="A69" s="7" t="s">
        <v>1861</v>
      </c>
      <c r="B69" s="4">
        <v>3465455.0599999996</v>
      </c>
    </row>
    <row r="72" spans="1:2" x14ac:dyDescent="0.2">
      <c r="A72" t="s">
        <v>1870</v>
      </c>
    </row>
    <row r="73" spans="1:2" x14ac:dyDescent="0.2">
      <c r="A73" s="6" t="s">
        <v>1848</v>
      </c>
      <c r="B73" t="s">
        <v>1847</v>
      </c>
    </row>
    <row r="74" spans="1:2" x14ac:dyDescent="0.2">
      <c r="A74" s="7" t="s">
        <v>55</v>
      </c>
      <c r="B74" s="4">
        <v>1140966.9300000004</v>
      </c>
    </row>
    <row r="75" spans="1:2" x14ac:dyDescent="0.2">
      <c r="A75" s="7" t="s">
        <v>19</v>
      </c>
      <c r="B75" s="4">
        <v>1166785.4600000002</v>
      </c>
    </row>
    <row r="76" spans="1:2" x14ac:dyDescent="0.2">
      <c r="A76" s="7" t="s">
        <v>67</v>
      </c>
      <c r="B76" s="4">
        <v>1157702.67</v>
      </c>
    </row>
    <row r="77" spans="1:2" x14ac:dyDescent="0.2">
      <c r="A77" s="7" t="s">
        <v>1861</v>
      </c>
      <c r="B77" s="4">
        <v>3465455.0600000005</v>
      </c>
    </row>
    <row r="79" spans="1:2" x14ac:dyDescent="0.2">
      <c r="A79" t="s">
        <v>1871</v>
      </c>
    </row>
    <row r="80" spans="1:2" x14ac:dyDescent="0.2">
      <c r="A80" s="6" t="s">
        <v>1848</v>
      </c>
      <c r="B80" t="s">
        <v>1863</v>
      </c>
    </row>
    <row r="81" spans="1:2" x14ac:dyDescent="0.2">
      <c r="A81" s="7" t="s">
        <v>55</v>
      </c>
      <c r="B81" s="4">
        <v>121478.71000000005</v>
      </c>
    </row>
    <row r="82" spans="1:2" x14ac:dyDescent="0.2">
      <c r="A82" s="7" t="s">
        <v>19</v>
      </c>
      <c r="B82" s="4">
        <v>119851.33000000006</v>
      </c>
    </row>
    <row r="83" spans="1:2" x14ac:dyDescent="0.2">
      <c r="A83" s="7" t="s">
        <v>67</v>
      </c>
      <c r="B83" s="4">
        <v>118082.57</v>
      </c>
    </row>
    <row r="84" spans="1:2" x14ac:dyDescent="0.2">
      <c r="A84" s="7" t="s">
        <v>1861</v>
      </c>
      <c r="B84" s="4">
        <v>359412.6100000001</v>
      </c>
    </row>
    <row r="86" spans="1:2" x14ac:dyDescent="0.2">
      <c r="A86" s="7" t="s">
        <v>1872</v>
      </c>
    </row>
    <row r="87" spans="1:2" x14ac:dyDescent="0.2">
      <c r="A87" s="6" t="s">
        <v>1848</v>
      </c>
      <c r="B87" t="s">
        <v>1863</v>
      </c>
    </row>
    <row r="88" spans="1:2" x14ac:dyDescent="0.2">
      <c r="A88" s="7" t="s">
        <v>115</v>
      </c>
      <c r="B88" s="4">
        <v>25246.25</v>
      </c>
    </row>
    <row r="89" spans="1:2" x14ac:dyDescent="0.2">
      <c r="A89" s="7" t="s">
        <v>20</v>
      </c>
      <c r="B89" s="4">
        <v>49325.99</v>
      </c>
    </row>
    <row r="90" spans="1:2" x14ac:dyDescent="0.2">
      <c r="A90" s="7" t="s">
        <v>56</v>
      </c>
      <c r="B90" s="4">
        <v>46173.930000000015</v>
      </c>
    </row>
    <row r="91" spans="1:2" x14ac:dyDescent="0.2">
      <c r="A91" s="7" t="s">
        <v>68</v>
      </c>
      <c r="B91" s="4">
        <v>39902.630000000005</v>
      </c>
    </row>
    <row r="92" spans="1:2" x14ac:dyDescent="0.2">
      <c r="A92" s="7" t="s">
        <v>36</v>
      </c>
      <c r="B92" s="4">
        <v>33171.500000000007</v>
      </c>
    </row>
    <row r="93" spans="1:2" x14ac:dyDescent="0.2">
      <c r="A93" s="7" t="s">
        <v>85</v>
      </c>
      <c r="B93" s="4">
        <v>52933.689999999995</v>
      </c>
    </row>
    <row r="94" spans="1:2" x14ac:dyDescent="0.2">
      <c r="A94" s="7" t="s">
        <v>74</v>
      </c>
      <c r="B94" s="4">
        <v>41800.609999999993</v>
      </c>
    </row>
    <row r="95" spans="1:2" x14ac:dyDescent="0.2">
      <c r="A95" s="7" t="s">
        <v>98</v>
      </c>
      <c r="B95" s="4">
        <v>33504.17</v>
      </c>
    </row>
    <row r="96" spans="1:2" x14ac:dyDescent="0.2">
      <c r="A96" s="7" t="s">
        <v>29</v>
      </c>
      <c r="B96" s="4">
        <v>37353.839999999982</v>
      </c>
    </row>
    <row r="97" spans="1:2" x14ac:dyDescent="0.2">
      <c r="A97" s="7" t="s">
        <v>1861</v>
      </c>
      <c r="B97" s="4">
        <v>359412.61</v>
      </c>
    </row>
    <row r="99" spans="1:2" x14ac:dyDescent="0.2">
      <c r="A99" s="7" t="s">
        <v>1873</v>
      </c>
    </row>
    <row r="100" spans="1:2" x14ac:dyDescent="0.2">
      <c r="A100" s="6" t="s">
        <v>1848</v>
      </c>
      <c r="B100" t="s">
        <v>1847</v>
      </c>
    </row>
    <row r="101" spans="1:2" x14ac:dyDescent="0.2">
      <c r="A101" s="7" t="s">
        <v>111</v>
      </c>
      <c r="B101" s="4">
        <v>137670.46999999997</v>
      </c>
    </row>
    <row r="102" spans="1:2" x14ac:dyDescent="0.2">
      <c r="A102" s="7" t="s">
        <v>154</v>
      </c>
      <c r="B102" s="4">
        <v>213389.86000000004</v>
      </c>
    </row>
    <row r="103" spans="1:2" x14ac:dyDescent="0.2">
      <c r="A103" s="7" t="s">
        <v>21</v>
      </c>
      <c r="B103" s="4">
        <v>133570.01</v>
      </c>
    </row>
    <row r="104" spans="1:2" x14ac:dyDescent="0.2">
      <c r="A104" s="7" t="s">
        <v>347</v>
      </c>
      <c r="B104" s="4">
        <v>155448.88</v>
      </c>
    </row>
    <row r="105" spans="1:2" x14ac:dyDescent="0.2">
      <c r="A105" s="7" t="s">
        <v>57</v>
      </c>
      <c r="B105" s="4">
        <v>138350.93</v>
      </c>
    </row>
    <row r="106" spans="1:2" x14ac:dyDescent="0.2">
      <c r="A106" s="7" t="s">
        <v>125</v>
      </c>
      <c r="B106" s="4">
        <v>165051.09999999998</v>
      </c>
    </row>
    <row r="107" spans="1:2" x14ac:dyDescent="0.2">
      <c r="A107" s="7" t="s">
        <v>116</v>
      </c>
      <c r="B107" s="4">
        <v>158867.86000000002</v>
      </c>
    </row>
    <row r="108" spans="1:2" x14ac:dyDescent="0.2">
      <c r="A108" s="7" t="s">
        <v>382</v>
      </c>
      <c r="B108" s="4">
        <v>172205.51999999996</v>
      </c>
    </row>
    <row r="109" spans="1:2" x14ac:dyDescent="0.2">
      <c r="A109" s="7" t="s">
        <v>129</v>
      </c>
      <c r="B109" s="4">
        <v>132379.78000000003</v>
      </c>
    </row>
    <row r="110" spans="1:2" x14ac:dyDescent="0.2">
      <c r="A110" s="7" t="s">
        <v>86</v>
      </c>
      <c r="B110" s="4">
        <v>135858.04</v>
      </c>
    </row>
    <row r="111" spans="1:2" x14ac:dyDescent="0.2">
      <c r="A111" s="7" t="s">
        <v>1861</v>
      </c>
      <c r="B111" s="4">
        <v>1542792.45</v>
      </c>
    </row>
    <row r="113" spans="1:4" x14ac:dyDescent="0.2">
      <c r="A113" s="7" t="s">
        <v>1874</v>
      </c>
    </row>
    <row r="114" spans="1:4" x14ac:dyDescent="0.2">
      <c r="A114" s="6" t="s">
        <v>1848</v>
      </c>
      <c r="B114" t="s">
        <v>1863</v>
      </c>
      <c r="C114" t="s">
        <v>1847</v>
      </c>
      <c r="D114" t="s">
        <v>1865</v>
      </c>
    </row>
    <row r="115" spans="1:4" x14ac:dyDescent="0.2">
      <c r="A115" s="7" t="s">
        <v>22</v>
      </c>
      <c r="B115" s="4">
        <v>29171.149999999994</v>
      </c>
      <c r="C115" s="4">
        <v>350695.37999999989</v>
      </c>
      <c r="D115" s="8">
        <v>8.2172176020338134E-2</v>
      </c>
    </row>
    <row r="116" spans="1:4" x14ac:dyDescent="0.2">
      <c r="A116" s="7" t="s">
        <v>117</v>
      </c>
      <c r="B116" s="4">
        <v>41843.689999999988</v>
      </c>
      <c r="C116" s="4">
        <v>341609.5799999999</v>
      </c>
      <c r="D116" s="8">
        <v>0.11457281943573722</v>
      </c>
    </row>
    <row r="117" spans="1:4" x14ac:dyDescent="0.2">
      <c r="A117" s="7" t="s">
        <v>63</v>
      </c>
      <c r="B117" s="4">
        <v>19780.25</v>
      </c>
      <c r="C117" s="4">
        <v>311338.44</v>
      </c>
      <c r="D117" s="8">
        <v>8.6748318609130168E-2</v>
      </c>
    </row>
    <row r="118" spans="1:4" x14ac:dyDescent="0.2">
      <c r="A118" s="7" t="s">
        <v>143</v>
      </c>
      <c r="B118" s="4">
        <v>30739.03</v>
      </c>
      <c r="C118" s="4">
        <v>279640.78999999998</v>
      </c>
      <c r="D118" s="8">
        <v>0.1078559076071588</v>
      </c>
    </row>
    <row r="119" spans="1:4" x14ac:dyDescent="0.2">
      <c r="A119" s="7" t="s">
        <v>44</v>
      </c>
      <c r="B119" s="4">
        <v>49074.539999999994</v>
      </c>
      <c r="C119" s="4">
        <v>405495.69000000006</v>
      </c>
      <c r="D119" s="8">
        <v>0.1158356447020254</v>
      </c>
    </row>
    <row r="120" spans="1:4" x14ac:dyDescent="0.2">
      <c r="A120" s="7" t="s">
        <v>38</v>
      </c>
      <c r="B120" s="4">
        <v>42934.02</v>
      </c>
      <c r="C120" s="4">
        <v>351157.02</v>
      </c>
      <c r="D120" s="8">
        <v>0.11142088085511498</v>
      </c>
    </row>
    <row r="121" spans="1:4" x14ac:dyDescent="0.2">
      <c r="A121" s="7" t="s">
        <v>87</v>
      </c>
      <c r="B121" s="4">
        <v>41201.329999999973</v>
      </c>
      <c r="C121" s="4">
        <v>374029.37000000005</v>
      </c>
      <c r="D121" s="8">
        <v>0.12279224424136469</v>
      </c>
    </row>
    <row r="122" spans="1:4" x14ac:dyDescent="0.2">
      <c r="A122" s="7" t="s">
        <v>107</v>
      </c>
      <c r="B122" s="4">
        <v>40639.799999999996</v>
      </c>
      <c r="C122" s="4">
        <v>395387.20999999996</v>
      </c>
      <c r="D122" s="8">
        <v>9.9902341754912513E-2</v>
      </c>
    </row>
    <row r="123" spans="1:4" x14ac:dyDescent="0.2">
      <c r="A123" s="7" t="s">
        <v>195</v>
      </c>
      <c r="B123" s="4">
        <v>38093.599999999999</v>
      </c>
      <c r="C123" s="4">
        <v>321778.47000000015</v>
      </c>
      <c r="D123" s="8">
        <v>0.11635302877962329</v>
      </c>
    </row>
    <row r="124" spans="1:4" x14ac:dyDescent="0.2">
      <c r="A124" s="7" t="s">
        <v>31</v>
      </c>
      <c r="B124" s="4">
        <v>25935.200000000001</v>
      </c>
      <c r="C124" s="4">
        <v>334323.11000000004</v>
      </c>
      <c r="D124" s="8">
        <v>9.124174530745717E-2</v>
      </c>
    </row>
    <row r="125" spans="1:4" x14ac:dyDescent="0.2">
      <c r="A125" s="7" t="s">
        <v>1861</v>
      </c>
      <c r="B125" s="4">
        <v>359412.61000000039</v>
      </c>
      <c r="C125" s="4">
        <v>3465455.0599999996</v>
      </c>
      <c r="D125" s="8">
        <v>0.10481829443227621</v>
      </c>
    </row>
    <row r="127" spans="1:4" x14ac:dyDescent="0.2">
      <c r="A127" s="7" t="s">
        <v>1875</v>
      </c>
    </row>
    <row r="128" spans="1:4" x14ac:dyDescent="0.2">
      <c r="A128" s="6" t="s">
        <v>1848</v>
      </c>
      <c r="B128" t="s">
        <v>1863</v>
      </c>
      <c r="C128" t="s">
        <v>1847</v>
      </c>
    </row>
    <row r="129" spans="1:3" x14ac:dyDescent="0.2">
      <c r="A129" s="7" t="s">
        <v>32</v>
      </c>
      <c r="B129" s="4">
        <v>90641.600000000035</v>
      </c>
      <c r="C129" s="4">
        <v>917791.49999999953</v>
      </c>
    </row>
    <row r="130" spans="1:3" x14ac:dyDescent="0.2">
      <c r="A130" s="7" t="s">
        <v>76</v>
      </c>
      <c r="B130" s="4">
        <v>98211.749999999927</v>
      </c>
      <c r="C130" s="4">
        <v>841316.08999999985</v>
      </c>
    </row>
    <row r="131" spans="1:3" x14ac:dyDescent="0.2">
      <c r="A131" s="7" t="s">
        <v>23</v>
      </c>
      <c r="B131" s="4">
        <v>98224.429999999964</v>
      </c>
      <c r="C131" s="4">
        <v>893221.53</v>
      </c>
    </row>
    <row r="132" spans="1:3" x14ac:dyDescent="0.2">
      <c r="A132" s="7" t="s">
        <v>39</v>
      </c>
      <c r="B132" s="4">
        <v>72334.829999999914</v>
      </c>
      <c r="C132" s="4">
        <v>813125.93999999971</v>
      </c>
    </row>
    <row r="133" spans="1:3" x14ac:dyDescent="0.2">
      <c r="A133" s="7" t="s">
        <v>1861</v>
      </c>
      <c r="B133" s="4">
        <v>359412.60999999981</v>
      </c>
      <c r="C133" s="4">
        <v>3465455.0599999987</v>
      </c>
    </row>
    <row r="135" spans="1:3" x14ac:dyDescent="0.2">
      <c r="A135" s="7" t="s">
        <v>1876</v>
      </c>
    </row>
    <row r="136" spans="1:3" x14ac:dyDescent="0.2">
      <c r="A136" s="6" t="s">
        <v>1848</v>
      </c>
      <c r="B136" t="s">
        <v>1863</v>
      </c>
      <c r="C136" t="s">
        <v>1865</v>
      </c>
    </row>
    <row r="137" spans="1:3" x14ac:dyDescent="0.2">
      <c r="A137" s="7" t="s">
        <v>1877</v>
      </c>
      <c r="B137" s="4">
        <v>-28992.349999999962</v>
      </c>
      <c r="C137" s="8">
        <v>-2.6924958044280356E-2</v>
      </c>
    </row>
    <row r="138" spans="1:3" x14ac:dyDescent="0.2">
      <c r="A138" s="7" t="s">
        <v>1878</v>
      </c>
      <c r="B138" s="4">
        <v>183543.58999999994</v>
      </c>
      <c r="C138" s="8">
        <v>0.18064966339974686</v>
      </c>
    </row>
    <row r="139" spans="1:3" x14ac:dyDescent="0.2">
      <c r="A139" s="7" t="s">
        <v>1879</v>
      </c>
      <c r="B139" s="4">
        <v>78936.389999999912</v>
      </c>
      <c r="C139" s="8">
        <v>7.6577322704836331E-2</v>
      </c>
    </row>
    <row r="140" spans="1:3" x14ac:dyDescent="0.2">
      <c r="A140" s="7" t="s">
        <v>1880</v>
      </c>
      <c r="B140" s="4">
        <v>125924.98000000003</v>
      </c>
      <c r="C140" s="8">
        <v>0.25804514911638204</v>
      </c>
    </row>
    <row r="141" spans="1:3" x14ac:dyDescent="0.2">
      <c r="A141" s="7" t="s">
        <v>1861</v>
      </c>
      <c r="B141" s="4">
        <v>359412.61000000034</v>
      </c>
      <c r="C141" s="8">
        <v>0.10481829443227617</v>
      </c>
    </row>
    <row r="144" spans="1:3" x14ac:dyDescent="0.2">
      <c r="A144" t="s">
        <v>1881</v>
      </c>
    </row>
    <row r="145" spans="1:3" x14ac:dyDescent="0.2">
      <c r="A145" s="9"/>
      <c r="B145" s="10"/>
      <c r="C145" s="11"/>
    </row>
    <row r="146" spans="1:3" x14ac:dyDescent="0.2">
      <c r="A146" s="12"/>
      <c r="B146" s="13"/>
      <c r="C146" s="14"/>
    </row>
    <row r="147" spans="1:3" x14ac:dyDescent="0.2">
      <c r="A147" s="12"/>
      <c r="B147" s="13"/>
      <c r="C147" s="14"/>
    </row>
    <row r="148" spans="1:3" x14ac:dyDescent="0.2">
      <c r="A148" s="12"/>
      <c r="B148" s="13"/>
      <c r="C148" s="14"/>
    </row>
    <row r="149" spans="1:3" x14ac:dyDescent="0.2">
      <c r="A149" s="12"/>
      <c r="B149" s="13"/>
      <c r="C149" s="14"/>
    </row>
    <row r="150" spans="1:3" x14ac:dyDescent="0.2">
      <c r="A150" s="12"/>
      <c r="B150" s="13"/>
      <c r="C150" s="14"/>
    </row>
    <row r="151" spans="1:3" x14ac:dyDescent="0.2">
      <c r="A151" s="12"/>
      <c r="B151" s="13"/>
      <c r="C151" s="14"/>
    </row>
    <row r="152" spans="1:3" x14ac:dyDescent="0.2">
      <c r="A152" s="12"/>
      <c r="B152" s="13"/>
      <c r="C152" s="14"/>
    </row>
    <row r="153" spans="1:3" x14ac:dyDescent="0.2">
      <c r="A153" s="12"/>
      <c r="B153" s="13"/>
      <c r="C153" s="14"/>
    </row>
    <row r="154" spans="1:3" x14ac:dyDescent="0.2">
      <c r="A154" s="12"/>
      <c r="B154" s="13"/>
      <c r="C154" s="14"/>
    </row>
    <row r="155" spans="1:3" x14ac:dyDescent="0.2">
      <c r="A155" s="12"/>
      <c r="B155" s="13"/>
      <c r="C155" s="14"/>
    </row>
    <row r="156" spans="1:3" x14ac:dyDescent="0.2">
      <c r="A156" s="12"/>
      <c r="B156" s="13"/>
      <c r="C156" s="14"/>
    </row>
    <row r="157" spans="1:3" x14ac:dyDescent="0.2">
      <c r="A157" s="12"/>
      <c r="B157" s="13"/>
      <c r="C157" s="14"/>
    </row>
    <row r="158" spans="1:3" x14ac:dyDescent="0.2">
      <c r="A158" s="12"/>
      <c r="B158" s="13"/>
      <c r="C158" s="14"/>
    </row>
    <row r="159" spans="1:3" x14ac:dyDescent="0.2">
      <c r="A159" s="12"/>
      <c r="B159" s="13"/>
      <c r="C159" s="14"/>
    </row>
    <row r="160" spans="1:3" x14ac:dyDescent="0.2">
      <c r="A160" s="12"/>
      <c r="B160" s="13"/>
      <c r="C160" s="14"/>
    </row>
    <row r="161" spans="1:3" x14ac:dyDescent="0.2">
      <c r="A161" s="12"/>
      <c r="B161" s="13"/>
      <c r="C161" s="14"/>
    </row>
    <row r="162" spans="1:3" x14ac:dyDescent="0.2">
      <c r="A162" s="15"/>
      <c r="B162" s="16"/>
      <c r="C162" s="17"/>
    </row>
  </sheetData>
  <mergeCells count="1">
    <mergeCell ref="D2:E2"/>
  </mergeCells>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FCABA-C137-5E46-B9DC-F55B48EF5B29}">
  <dimension ref="A1:Z105"/>
  <sheetViews>
    <sheetView showGridLines="0" showRowColHeaders="0" tabSelected="1" zoomScale="69" zoomScaleNormal="60" workbookViewId="0">
      <selection activeCell="Y31" sqref="Y31"/>
    </sheetView>
  </sheetViews>
  <sheetFormatPr baseColWidth="10" defaultRowHeight="15" x14ac:dyDescent="0.2"/>
  <cols>
    <col min="1" max="16384" width="10.83203125" style="18"/>
  </cols>
  <sheetData>
    <row r="1" spans="1:26" ht="15" customHeight="1" x14ac:dyDescent="0.2">
      <c r="A1" s="22" t="s">
        <v>1882</v>
      </c>
      <c r="B1" s="22"/>
      <c r="C1" s="22"/>
      <c r="D1" s="22"/>
      <c r="E1" s="22"/>
      <c r="F1" s="22"/>
      <c r="G1" s="22"/>
      <c r="H1" s="22"/>
      <c r="I1" s="22"/>
      <c r="J1" s="22"/>
      <c r="K1" s="22"/>
      <c r="L1" s="22"/>
      <c r="M1" s="22"/>
      <c r="N1" s="22"/>
      <c r="O1" s="22"/>
      <c r="P1" s="22"/>
      <c r="Q1" s="20" t="s">
        <v>1883</v>
      </c>
      <c r="R1" s="20"/>
      <c r="S1" s="20"/>
      <c r="T1" s="20"/>
      <c r="U1" s="20"/>
      <c r="V1" s="19"/>
      <c r="W1" s="19"/>
      <c r="X1" s="19"/>
      <c r="Y1" s="19"/>
      <c r="Z1" s="19"/>
    </row>
    <row r="2" spans="1:26" ht="15" customHeight="1" x14ac:dyDescent="0.2">
      <c r="A2" s="22"/>
      <c r="B2" s="22"/>
      <c r="C2" s="22"/>
      <c r="D2" s="22"/>
      <c r="E2" s="22"/>
      <c r="F2" s="22"/>
      <c r="G2" s="22"/>
      <c r="H2" s="22"/>
      <c r="I2" s="22"/>
      <c r="J2" s="22"/>
      <c r="K2" s="22"/>
      <c r="L2" s="22"/>
      <c r="M2" s="22"/>
      <c r="N2" s="22"/>
      <c r="O2" s="22"/>
      <c r="P2" s="22"/>
      <c r="Q2" s="20"/>
      <c r="R2" s="20"/>
      <c r="S2" s="20"/>
      <c r="T2" s="20"/>
      <c r="U2" s="20"/>
      <c r="V2" s="19"/>
      <c r="W2" s="19"/>
      <c r="X2" s="19"/>
      <c r="Y2" s="19"/>
      <c r="Z2" s="19"/>
    </row>
    <row r="3" spans="1:26" ht="15" customHeight="1" x14ac:dyDescent="0.2">
      <c r="A3" s="22"/>
      <c r="B3" s="22"/>
      <c r="C3" s="22"/>
      <c r="D3" s="22"/>
      <c r="E3" s="22"/>
      <c r="F3" s="22"/>
      <c r="G3" s="22"/>
      <c r="H3" s="22"/>
      <c r="I3" s="22"/>
      <c r="J3" s="22"/>
      <c r="K3" s="22"/>
      <c r="L3" s="22"/>
      <c r="M3" s="22"/>
      <c r="N3" s="22"/>
      <c r="O3" s="22"/>
      <c r="P3" s="22"/>
      <c r="Q3" s="20"/>
      <c r="R3" s="20"/>
      <c r="S3" s="20"/>
      <c r="T3" s="20"/>
      <c r="U3" s="20"/>
      <c r="V3" s="19"/>
      <c r="W3" s="19"/>
      <c r="X3" s="19"/>
      <c r="Y3" s="19"/>
      <c r="Z3" s="19"/>
    </row>
    <row r="4" spans="1:26" x14ac:dyDescent="0.2">
      <c r="A4" s="21"/>
      <c r="B4" s="21"/>
      <c r="C4" s="21"/>
      <c r="D4" s="21"/>
      <c r="E4" s="21"/>
      <c r="F4" s="21"/>
      <c r="G4" s="21"/>
      <c r="H4" s="21"/>
      <c r="I4" s="21"/>
      <c r="J4" s="21"/>
      <c r="K4" s="21"/>
      <c r="L4" s="21"/>
      <c r="M4" s="21"/>
      <c r="N4" s="21"/>
      <c r="O4" s="21"/>
      <c r="P4" s="21"/>
    </row>
    <row r="5" spans="1:26" x14ac:dyDescent="0.2">
      <c r="A5" s="21"/>
      <c r="B5" s="21"/>
      <c r="C5" s="21"/>
      <c r="D5" s="21"/>
      <c r="E5" s="21"/>
      <c r="F5" s="21"/>
      <c r="G5" s="21"/>
      <c r="H5" s="21"/>
      <c r="I5" s="21"/>
      <c r="J5" s="21"/>
      <c r="K5" s="21"/>
      <c r="L5" s="21"/>
      <c r="M5" s="21"/>
      <c r="N5" s="21"/>
      <c r="O5" s="21"/>
      <c r="P5" s="21"/>
    </row>
    <row r="6" spans="1:26" x14ac:dyDescent="0.2">
      <c r="A6" s="21"/>
      <c r="B6" s="21"/>
      <c r="C6" s="21"/>
      <c r="D6" s="21"/>
      <c r="E6" s="21"/>
      <c r="F6" s="21"/>
      <c r="G6" s="21"/>
      <c r="H6" s="21"/>
      <c r="I6" s="21"/>
      <c r="J6" s="21"/>
      <c r="K6" s="21"/>
      <c r="L6" s="21"/>
      <c r="M6" s="21"/>
      <c r="N6" s="21"/>
      <c r="O6" s="21"/>
      <c r="P6" s="21"/>
    </row>
    <row r="7" spans="1:26" x14ac:dyDescent="0.2">
      <c r="A7" s="21"/>
      <c r="B7" s="21"/>
      <c r="C7" s="21"/>
      <c r="D7" s="21"/>
      <c r="E7" s="21"/>
      <c r="F7" s="21"/>
      <c r="G7" s="21"/>
      <c r="H7" s="21"/>
      <c r="I7" s="21"/>
      <c r="J7" s="21"/>
      <c r="K7" s="21"/>
      <c r="L7" s="21"/>
      <c r="M7" s="21"/>
      <c r="N7" s="21"/>
      <c r="O7" s="21"/>
      <c r="P7" s="21"/>
    </row>
    <row r="8" spans="1:26" x14ac:dyDescent="0.2">
      <c r="A8" s="21"/>
      <c r="B8" s="21"/>
      <c r="C8" s="21"/>
      <c r="D8" s="21"/>
      <c r="E8" s="21"/>
      <c r="F8" s="21"/>
      <c r="G8" s="21"/>
      <c r="H8" s="21"/>
      <c r="I8" s="21"/>
      <c r="J8" s="21"/>
      <c r="K8" s="21"/>
      <c r="L8" s="21"/>
      <c r="M8" s="21"/>
      <c r="N8" s="21"/>
      <c r="O8" s="21"/>
      <c r="P8" s="21"/>
    </row>
    <row r="9" spans="1:26" x14ac:dyDescent="0.2">
      <c r="A9" s="21"/>
      <c r="B9" s="21"/>
      <c r="C9" s="21"/>
      <c r="D9" s="21"/>
      <c r="E9" s="21"/>
      <c r="F9" s="21"/>
      <c r="G9" s="21"/>
      <c r="H9" s="21"/>
      <c r="I9" s="21"/>
      <c r="J9" s="21"/>
      <c r="K9" s="21"/>
      <c r="L9" s="21"/>
      <c r="M9" s="21"/>
      <c r="N9" s="21"/>
      <c r="O9" s="21"/>
      <c r="P9" s="21"/>
    </row>
    <row r="105" spans="11:11" x14ac:dyDescent="0.2">
      <c r="K105" s="18" t="s">
        <v>1885</v>
      </c>
    </row>
  </sheetData>
  <mergeCells count="6">
    <mergeCell ref="Q1:U3"/>
    <mergeCell ref="A4:D9"/>
    <mergeCell ref="E4:H9"/>
    <mergeCell ref="I4:L9"/>
    <mergeCell ref="M4:P9"/>
    <mergeCell ref="A1: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Aryan Choudhary</cp:lastModifiedBy>
  <dcterms:created xsi:type="dcterms:W3CDTF">2026-07-18T08:06:12Z</dcterms:created>
  <dcterms:modified xsi:type="dcterms:W3CDTF">2026-07-24T13:22:54Z</dcterms:modified>
</cp:coreProperties>
</file>